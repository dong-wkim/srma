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.github\meta-analysis\data\xlsx\"/>
    </mc:Choice>
  </mc:AlternateContent>
  <xr:revisionPtr revIDLastSave="0" documentId="13_ncr:1_{46BD15A7-CCB9-4CA1-8D10-F4D15569B232}" xr6:coauthVersionLast="47" xr6:coauthVersionMax="47" xr10:uidLastSave="{00000000-0000-0000-0000-000000000000}"/>
  <bookViews>
    <workbookView xWindow="-110" yWindow="-110" windowWidth="19420" windowHeight="10300" xr2:uid="{221C1886-43B4-4055-98AD-7892EB44216A}"/>
  </bookViews>
  <sheets>
    <sheet name="summary" sheetId="1" r:id="rId1"/>
  </sheets>
  <definedNames>
    <definedName name="_xlnm._FilterDatabase" localSheetId="0" hidden="1">summary!$A$1:$R$83</definedName>
    <definedName name="arthrofibrosis">summary!$F$27:$W$27</definedName>
    <definedName name="ci.lower.bqt">summary!$L$2:$L$28</definedName>
    <definedName name="ci.lower.sqt">summary!$L$29:$L$55</definedName>
    <definedName name="ci.upper.bqt">summary!$M$2:$M$28</definedName>
    <definedName name="ci.upper.sqt">summary!$M$29:$M$55</definedName>
    <definedName name="donor_site_morbidity">summary!$F$26:$W$26</definedName>
    <definedName name="estimate.bqt">summary!$K$2:$K$28</definedName>
    <definedName name="estimate.sqt">summary!$K$29:$K$55</definedName>
    <definedName name="fu.mean.bqt">summary!$H$2:$H$28</definedName>
    <definedName name="fu.mean.sqt">summary!#REF!</definedName>
    <definedName name="fu.sd.lower.bqt">summary!$I$2:$I$28</definedName>
    <definedName name="fu.sd.lower.sqt">summary!#REF!</definedName>
    <definedName name="fu.sd.upper.bqt">summary!$J$2:$J$28</definedName>
    <definedName name="fu.sd.upper.sqt">summary!#REF!</definedName>
    <definedName name="graft_rupture">summary!$F$25:$W$25</definedName>
    <definedName name="h_lsi_isokinetic_180">summary!$F$13:$W$13</definedName>
    <definedName name="h_lsi_isokinetic_60">summary!$F$12:$W$12</definedName>
    <definedName name="h_lsi_isometric">summary!$F$11:$W$11</definedName>
    <definedName name="ikdc_objective">summary!$F$19:$W$19</definedName>
    <definedName name="ikdc_subjective">summary!$F$2:$W$2</definedName>
    <definedName name="instrumental_laxity">summary!$F$18:$W$18</definedName>
    <definedName name="k.bqt">summary!$F$2:$F$28</definedName>
    <definedName name="k.sqt">summary!$F$29:$F$55</definedName>
    <definedName name="koos_adl">summary!$F$6:$W$6</definedName>
    <definedName name="koos_pain">summary!$F$7:$W$7</definedName>
    <definedName name="koos_qol">summary!$F$10:$W$10</definedName>
    <definedName name="koos_sport">summary!$F$8:$W$8</definedName>
    <definedName name="koos_symptoms">summary!$F$9:$W$9</definedName>
    <definedName name="lachman">summary!$F$20:$W$20</definedName>
    <definedName name="lachman_0_1">summary!$F$21:$W$21</definedName>
    <definedName name="lysholm">summary!$F$3:$W$3</definedName>
    <definedName name="marx">summary!$F$5:$W$5</definedName>
    <definedName name="n.bqt">summary!$G$2:$G$28</definedName>
    <definedName name="n.sqt">summary!$G$29:$G$55</definedName>
    <definedName name="outcome" localSheetId="0">summary!$F$2:$W$28</definedName>
    <definedName name="patellar_fracture">summary!$F$28:$W$28</definedName>
    <definedName name="pivot_shift">summary!$F$22:$W$22</definedName>
    <definedName name="pivot_shift_0_1_">summary!$F$23:$W$23</definedName>
    <definedName name="q_lsi_isokinetic_180">summary!$F$15:$W$15</definedName>
    <definedName name="q_lsi_isokinetic_60">summary!$F$14:$W$14</definedName>
    <definedName name="q_lsi_isometric">summary!$F$16:$W$16</definedName>
    <definedName name="slht">summary!$F$17:$W$17</definedName>
    <definedName name="tegner">summary!$F$4:$W$4</definedName>
    <definedName name="vas">summary!$F$24:$W$24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F82" i="1"/>
  <c r="G79" i="1"/>
  <c r="F79" i="1"/>
  <c r="G76" i="1"/>
  <c r="F76" i="1"/>
  <c r="G73" i="1"/>
  <c r="F73" i="1"/>
  <c r="G70" i="1"/>
  <c r="F70" i="1"/>
  <c r="G67" i="1"/>
  <c r="F67" i="1"/>
  <c r="G64" i="1"/>
  <c r="F64" i="1"/>
  <c r="G61" i="1"/>
  <c r="F61" i="1"/>
  <c r="G58" i="1"/>
  <c r="F58" i="1"/>
  <c r="G55" i="1"/>
  <c r="F55" i="1"/>
  <c r="G52" i="1"/>
  <c r="F52" i="1"/>
  <c r="G49" i="1"/>
  <c r="F49" i="1"/>
  <c r="G46" i="1"/>
  <c r="F46" i="1"/>
  <c r="G43" i="1"/>
  <c r="F43" i="1"/>
  <c r="G40" i="1"/>
  <c r="F40" i="1"/>
  <c r="G37" i="1"/>
  <c r="F37" i="1"/>
  <c r="G34" i="1"/>
  <c r="F34" i="1"/>
  <c r="G31" i="1"/>
  <c r="F31" i="1"/>
  <c r="G28" i="1"/>
  <c r="F28" i="1"/>
  <c r="G25" i="1"/>
  <c r="F25" i="1"/>
  <c r="G22" i="1"/>
  <c r="F22" i="1"/>
  <c r="G19" i="1"/>
  <c r="F19" i="1"/>
  <c r="G16" i="1"/>
  <c r="F16" i="1"/>
  <c r="G13" i="1"/>
  <c r="F13" i="1"/>
  <c r="G10" i="1"/>
  <c r="F10" i="1"/>
  <c r="G7" i="1"/>
  <c r="F7" i="1"/>
  <c r="G4" i="1"/>
  <c r="F4" i="1"/>
  <c r="P2" i="1" a="1"/>
  <c r="P2" i="1" s="1"/>
  <c r="Q2" i="1" s="1" a="1"/>
  <c r="Q2" i="1" s="1"/>
  <c r="R2" i="1" s="1" a="1"/>
  <c r="R2" i="1" s="1"/>
  <c r="N2" i="1" a="1"/>
  <c r="N2" i="1" s="1"/>
  <c r="R1" i="1"/>
  <c r="Q1" i="1"/>
  <c r="P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<sst xmlns="http://schemas.openxmlformats.org/spreadsheetml/2006/main" count="339" uniqueCount="74">
  <si>
    <t>id</t>
  </si>
  <si>
    <t>outcome</t>
  </si>
  <si>
    <t>type</t>
  </si>
  <si>
    <t>group</t>
  </si>
  <si>
    <t>k</t>
  </si>
  <si>
    <t>n</t>
  </si>
  <si>
    <t>fu.mean</t>
  </si>
  <si>
    <t>fu.sd.lower</t>
  </si>
  <si>
    <t>fu.sd.upper</t>
  </si>
  <si>
    <t>estimate</t>
  </si>
  <si>
    <t>ci.lower</t>
  </si>
  <si>
    <t>ci.upper</t>
  </si>
  <si>
    <t>sd</t>
  </si>
  <si>
    <t>max</t>
  </si>
  <si>
    <t>ikdc_subjective</t>
  </si>
  <si>
    <t>continuous</t>
  </si>
  <si>
    <t>S-QT</t>
  </si>
  <si>
    <t>B-QT</t>
  </si>
  <si>
    <t>QT</t>
  </si>
  <si>
    <t>lysholm</t>
  </si>
  <si>
    <t>tegner</t>
  </si>
  <si>
    <t>marx</t>
  </si>
  <si>
    <t>koos_adl</t>
  </si>
  <si>
    <t>koos_pain</t>
  </si>
  <si>
    <t>koos_sport</t>
  </si>
  <si>
    <t>koos_symptoms</t>
  </si>
  <si>
    <t>koos_qol</t>
  </si>
  <si>
    <t>q_lsi_isometric</t>
  </si>
  <si>
    <t>q_lsi_isokinetic_60</t>
  </si>
  <si>
    <t>q_lsi_isokinetic_180</t>
  </si>
  <si>
    <t>h_lsi_isometric</t>
  </si>
  <si>
    <t>h_lsi_isokinetic_60</t>
  </si>
  <si>
    <t>h_lsi_isokinetic_180</t>
  </si>
  <si>
    <t>slht</t>
  </si>
  <si>
    <t>instrumental_laxity</t>
  </si>
  <si>
    <t>ikdc_objective</t>
  </si>
  <si>
    <t>dichotomous</t>
  </si>
  <si>
    <t>lachman</t>
  </si>
  <si>
    <t>lachman_0_1</t>
  </si>
  <si>
    <t>pivot_shift</t>
  </si>
  <si>
    <t>pivot_shift_0_1_</t>
  </si>
  <si>
    <t>vas</t>
  </si>
  <si>
    <t>graft_rupture</t>
  </si>
  <si>
    <t>donor_site_morbidity</t>
  </si>
  <si>
    <t>arthrofibrosis</t>
  </si>
  <si>
    <t>patellar_fracture</t>
  </si>
  <si>
    <t>IKDC Subjective</t>
  </si>
  <si>
    <t>Lysholm</t>
  </si>
  <si>
    <t>Tegner</t>
  </si>
  <si>
    <t>Marx</t>
  </si>
  <si>
    <t>Sport &amp; Recreation</t>
  </si>
  <si>
    <t>Pain</t>
  </si>
  <si>
    <t>Symptoms</t>
  </si>
  <si>
    <t>ADL</t>
  </si>
  <si>
    <t>QoL</t>
  </si>
  <si>
    <t>Q-LSI isometric</t>
  </si>
  <si>
    <t>Q-LSI isokinetic 60</t>
  </si>
  <si>
    <t>Q-LSI isokinetic 180</t>
  </si>
  <si>
    <t>H-LSI isokinetic 180</t>
  </si>
  <si>
    <t>H-LSI isometric</t>
  </si>
  <si>
    <t>H-LSI isokinetic 60</t>
  </si>
  <si>
    <t>SLHT</t>
  </si>
  <si>
    <t>Instrumental laxity</t>
  </si>
  <si>
    <t>IKDC Objective</t>
  </si>
  <si>
    <t>Lachman</t>
  </si>
  <si>
    <t>Lachman (&gt; 1)</t>
  </si>
  <si>
    <t>Pivot shift</t>
  </si>
  <si>
    <t>Pivot shift (&gt; 1)</t>
  </si>
  <si>
    <t>VAS</t>
  </si>
  <si>
    <t>Graft rupture</t>
  </si>
  <si>
    <t>Donor site morbidity</t>
  </si>
  <si>
    <t>Arthrofibrosis</t>
  </si>
  <si>
    <t>Patellar fracture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</si>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</sst>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theme="1"/>
      <name val="Calibri Light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>
      <alignment textRotation="90"/>
    </xf>
    <xf numFmtId="0" fontId="1" fillId="0" borderId="0" xfId="1"/>
    <xf numFmtId="164" fontId="1" fillId="0" borderId="0" xfId="1" applyNumberFormat="1"/>
    <xf numFmtId="0" fontId="2" fillId="0" borderId="0" xfId="1" applyFont="1"/>
  </cellXfs>
  <cellStyles count="2">
    <cellStyle name="Normal" xfId="0" builtinId="0"/>
    <cellStyle name="Normal 2" xfId="1" xr:uid="{58843D26-9D64-4C43-A977-F4D301405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8DA9-4928-40E3-9C2A-C9F1CA1D16E1}">
  <dimension ref="A1:R83"/>
  <sheetViews>
    <sheetView tabSelected="1" zoomScale="95" workbookViewId="0">
      <selection activeCell="C2" sqref="C2"/>
    </sheetView>
  </sheetViews>
  <sheetFormatPr defaultRowHeight="13" x14ac:dyDescent="0.3"/>
  <cols>
    <col min="1" max="1" width="4.5" style="2" bestFit="1" customWidth="1"/>
    <col min="2" max="3" width="18.3984375" style="2" customWidth="1"/>
    <col min="4" max="4" width="11.296875" style="2" bestFit="1" customWidth="1"/>
    <col min="5" max="5" width="4.8984375" style="2" bestFit="1" customWidth="1"/>
    <col min="6" max="6" width="4.5" style="2" bestFit="1" customWidth="1"/>
    <col min="7" max="7" width="4.8984375" style="2" bestFit="1" customWidth="1"/>
    <col min="8" max="9" width="4.8984375" style="2" hidden="1" customWidth="1"/>
    <col min="10" max="10" width="5.8984375" style="2" hidden="1" customWidth="1"/>
    <col min="11" max="12" width="5.8984375" style="2" bestFit="1" customWidth="1"/>
    <col min="13" max="13" width="6.8984375" style="2" bestFit="1" customWidth="1"/>
    <col min="14" max="14" width="6.8984375" style="2" hidden="1" customWidth="1"/>
    <col min="15" max="15" width="6.8984375" style="2" customWidth="1"/>
    <col min="16" max="18" width="7.09765625" style="2" bestFit="1" customWidth="1"/>
    <col min="19" max="19" width="12.796875" style="2" bestFit="1" customWidth="1"/>
    <col min="20" max="20" width="13.09765625" style="2" bestFit="1" customWidth="1"/>
    <col min="21" max="21" width="11" style="2" bestFit="1" customWidth="1"/>
    <col min="22" max="22" width="10.19921875" style="2" bestFit="1" customWidth="1"/>
    <col min="23" max="23" width="10.3984375" style="2" bestFit="1" customWidth="1"/>
    <col min="24" max="16384" width="8.796875" style="2"/>
  </cols>
  <sheetData>
    <row r="1" spans="1:18" s="1" customFormat="1" ht="75.5" x14ac:dyDescent="0.3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tr">
        <f>K1&amp;".scaled"</f>
        <v>estimate.scaled</v>
      </c>
      <c r="Q1" s="1" t="str">
        <f>L1&amp;".scaled"</f>
        <v>ci.lower.scaled</v>
      </c>
      <c r="R1" s="1" t="str">
        <f>M1&amp;".scaled"</f>
        <v>ci.upper.scaled</v>
      </c>
    </row>
    <row r="2" spans="1:18" x14ac:dyDescent="0.3">
      <c r="A2" s="2">
        <v>1</v>
      </c>
      <c r="B2" s="2" t="s">
        <v>14</v>
      </c>
      <c r="C2" s="2" t="s">
        <v>46</v>
      </c>
      <c r="D2" s="2" t="s">
        <v>15</v>
      </c>
      <c r="E2" s="2" t="s">
        <v>16</v>
      </c>
      <c r="F2" s="2">
        <v>16</v>
      </c>
      <c r="G2" s="2">
        <v>894</v>
      </c>
      <c r="H2" s="2">
        <v>33</v>
      </c>
      <c r="I2" s="2">
        <v>6</v>
      </c>
      <c r="J2" s="2">
        <v>69.900000000000006</v>
      </c>
      <c r="K2" s="2">
        <v>83.97</v>
      </c>
      <c r="L2" s="2">
        <v>79.89</v>
      </c>
      <c r="M2" s="2">
        <v>88.06</v>
      </c>
      <c r="N2" s="2" cm="1">
        <f t="array" ref="N2:N82">IFERROR(((M2:M82-L2:L82)/3.92)*SQRT(G2:G82),"")</f>
        <v>62.316743310062186</v>
      </c>
      <c r="O2" s="2">
        <v>100</v>
      </c>
      <c r="P2" s="3" cm="1">
        <f t="array" ref="P2:P82">IF((K2:K82&lt;&gt;"")*(O2:O82&lt;&gt;""),K2:K82/$O2:$O82,"")</f>
        <v>0.8397</v>
      </c>
      <c r="Q2" s="3" cm="1">
        <f t="array" ref="Q2:Q82">IF((L2:L82&lt;&gt;"")*(P2:P82&lt;&gt;""),L2:L82/$O2:$O82,"")</f>
        <v>0.79890000000000005</v>
      </c>
      <c r="R2" s="3" cm="1">
        <f t="array" ref="R2:R82">IF((M2:M82&lt;&gt;"")*(Q2:Q82&lt;&gt;""),M2:M82/$O2:$O82,"")</f>
        <v>0.88060000000000005</v>
      </c>
    </row>
    <row r="3" spans="1:18" x14ac:dyDescent="0.3">
      <c r="A3" s="2">
        <v>2</v>
      </c>
      <c r="B3" s="2" t="s">
        <v>14</v>
      </c>
      <c r="C3" s="2" t="s">
        <v>46</v>
      </c>
      <c r="D3" s="2" t="s">
        <v>15</v>
      </c>
      <c r="E3" s="2" t="s">
        <v>17</v>
      </c>
      <c r="F3" s="2">
        <v>27</v>
      </c>
      <c r="G3" s="2">
        <v>1420</v>
      </c>
      <c r="H3" s="2">
        <v>39.4</v>
      </c>
      <c r="I3" s="2">
        <v>12</v>
      </c>
      <c r="J3" s="2">
        <v>123.6</v>
      </c>
      <c r="K3" s="2">
        <v>84.45</v>
      </c>
      <c r="L3" s="2">
        <v>81.87</v>
      </c>
      <c r="M3" s="2">
        <v>87.02</v>
      </c>
      <c r="N3" s="2">
        <v>49.506854571069503</v>
      </c>
      <c r="O3" s="2">
        <v>100</v>
      </c>
      <c r="P3" s="3">
        <v>0.84450000000000003</v>
      </c>
      <c r="Q3" s="3">
        <v>0.81870000000000009</v>
      </c>
      <c r="R3" s="3">
        <v>0.87019999999999997</v>
      </c>
    </row>
    <row r="4" spans="1:18" x14ac:dyDescent="0.3">
      <c r="A4" s="2">
        <v>3</v>
      </c>
      <c r="B4" s="2" t="s">
        <v>14</v>
      </c>
      <c r="C4" s="2" t="s">
        <v>46</v>
      </c>
      <c r="D4" s="2" t="s">
        <v>15</v>
      </c>
      <c r="E4" s="2" t="s">
        <v>18</v>
      </c>
      <c r="F4" s="2">
        <f>SUM(F2:F3)</f>
        <v>43</v>
      </c>
      <c r="G4" s="2">
        <f>SUM(G2:G3)</f>
        <v>2314</v>
      </c>
      <c r="K4" s="2">
        <v>84.29</v>
      </c>
      <c r="L4" s="2">
        <v>82.23</v>
      </c>
      <c r="M4" s="2">
        <v>86.35</v>
      </c>
      <c r="N4" s="2">
        <v>50.558342346652388</v>
      </c>
      <c r="O4" s="2">
        <v>100</v>
      </c>
      <c r="P4" s="3">
        <v>0.84290000000000009</v>
      </c>
      <c r="Q4" s="3">
        <v>0.82230000000000003</v>
      </c>
      <c r="R4" s="3">
        <v>0.86349999999999993</v>
      </c>
    </row>
    <row r="5" spans="1:18" x14ac:dyDescent="0.3">
      <c r="A5" s="2">
        <v>4</v>
      </c>
      <c r="B5" s="2" t="s">
        <v>19</v>
      </c>
      <c r="C5" s="2" t="s">
        <v>47</v>
      </c>
      <c r="D5" s="2" t="s">
        <v>15</v>
      </c>
      <c r="E5" s="2" t="s">
        <v>16</v>
      </c>
      <c r="F5" s="2">
        <v>14</v>
      </c>
      <c r="G5" s="2">
        <v>527</v>
      </c>
      <c r="H5" s="2">
        <v>28.8</v>
      </c>
      <c r="I5" s="2">
        <v>10.199999999999999</v>
      </c>
      <c r="J5" s="2">
        <v>69.900000000000006</v>
      </c>
      <c r="K5" s="2">
        <v>89.41</v>
      </c>
      <c r="L5" s="2">
        <v>86.98</v>
      </c>
      <c r="M5" s="2">
        <v>91.85</v>
      </c>
      <c r="N5" s="2">
        <v>28.519913356848217</v>
      </c>
      <c r="O5" s="2">
        <v>100</v>
      </c>
      <c r="P5" s="3">
        <v>0.89410000000000001</v>
      </c>
      <c r="Q5" s="3">
        <v>0.86980000000000002</v>
      </c>
      <c r="R5" s="3">
        <v>0.91849999999999998</v>
      </c>
    </row>
    <row r="6" spans="1:18" x14ac:dyDescent="0.3">
      <c r="A6" s="2">
        <v>5</v>
      </c>
      <c r="B6" s="2" t="s">
        <v>19</v>
      </c>
      <c r="C6" s="2" t="s">
        <v>47</v>
      </c>
      <c r="D6" s="2" t="s">
        <v>15</v>
      </c>
      <c r="E6" s="2" t="s">
        <v>17</v>
      </c>
      <c r="F6" s="2">
        <v>32</v>
      </c>
      <c r="G6" s="2">
        <v>2295</v>
      </c>
      <c r="H6" s="2">
        <v>43.6</v>
      </c>
      <c r="I6" s="2">
        <v>12</v>
      </c>
      <c r="J6" s="2">
        <v>123.6</v>
      </c>
      <c r="K6" s="2">
        <v>91.44</v>
      </c>
      <c r="L6" s="2">
        <v>90.46</v>
      </c>
      <c r="M6" s="2">
        <v>92.42</v>
      </c>
      <c r="N6" s="2">
        <v>23.953079134007066</v>
      </c>
      <c r="O6" s="2">
        <v>100</v>
      </c>
      <c r="P6" s="3">
        <v>0.91439999999999999</v>
      </c>
      <c r="Q6" s="3">
        <v>0.90459999999999996</v>
      </c>
      <c r="R6" s="3">
        <v>0.92420000000000002</v>
      </c>
    </row>
    <row r="7" spans="1:18" x14ac:dyDescent="0.3">
      <c r="A7" s="2">
        <v>6</v>
      </c>
      <c r="B7" s="2" t="s">
        <v>19</v>
      </c>
      <c r="C7" s="2" t="s">
        <v>47</v>
      </c>
      <c r="D7" s="2" t="s">
        <v>15</v>
      </c>
      <c r="E7" s="2" t="s">
        <v>18</v>
      </c>
      <c r="F7" s="2">
        <f>SUM(F5:F6)</f>
        <v>46</v>
      </c>
      <c r="G7" s="2">
        <f>SUM(G5:G6)</f>
        <v>2822</v>
      </c>
      <c r="K7" s="2">
        <v>91.45</v>
      </c>
      <c r="L7" s="2">
        <v>90.51</v>
      </c>
      <c r="M7" s="2">
        <v>91.84</v>
      </c>
      <c r="N7" s="2">
        <v>18.023705337183912</v>
      </c>
      <c r="O7" s="2">
        <v>100</v>
      </c>
      <c r="P7" s="3">
        <v>0.91449999999999998</v>
      </c>
      <c r="Q7" s="3">
        <v>0.90510000000000002</v>
      </c>
      <c r="R7" s="3">
        <v>0.91839999999999999</v>
      </c>
    </row>
    <row r="8" spans="1:18" x14ac:dyDescent="0.3">
      <c r="A8" s="2">
        <v>7</v>
      </c>
      <c r="B8" s="2" t="s">
        <v>20</v>
      </c>
      <c r="C8" s="2" t="s">
        <v>48</v>
      </c>
      <c r="D8" s="2" t="s">
        <v>15</v>
      </c>
      <c r="E8" s="2" t="s">
        <v>16</v>
      </c>
      <c r="F8" s="2">
        <v>9</v>
      </c>
      <c r="G8" s="2">
        <v>398</v>
      </c>
      <c r="H8" s="2">
        <v>25.2</v>
      </c>
      <c r="I8" s="2">
        <v>10.199999999999999</v>
      </c>
      <c r="J8" s="2">
        <v>31.7</v>
      </c>
      <c r="K8" s="2">
        <v>5.39</v>
      </c>
      <c r="L8" s="2">
        <v>4.5</v>
      </c>
      <c r="M8" s="2">
        <v>6.3</v>
      </c>
      <c r="N8" s="2">
        <v>9.1606855147622461</v>
      </c>
      <c r="O8" s="2">
        <v>10</v>
      </c>
      <c r="P8" s="3">
        <v>0.53899999999999992</v>
      </c>
      <c r="Q8" s="3">
        <v>0.45</v>
      </c>
      <c r="R8" s="3">
        <v>0.63</v>
      </c>
    </row>
    <row r="9" spans="1:18" x14ac:dyDescent="0.3">
      <c r="A9" s="2">
        <v>8</v>
      </c>
      <c r="B9" s="2" t="s">
        <v>20</v>
      </c>
      <c r="C9" s="2" t="s">
        <v>48</v>
      </c>
      <c r="D9" s="2" t="s">
        <v>15</v>
      </c>
      <c r="E9" s="2" t="s">
        <v>17</v>
      </c>
      <c r="F9" s="2">
        <v>19</v>
      </c>
      <c r="G9" s="2">
        <v>1397</v>
      </c>
      <c r="H9" s="2">
        <v>49</v>
      </c>
      <c r="I9" s="2">
        <v>12.4</v>
      </c>
      <c r="J9" s="2">
        <v>123.6</v>
      </c>
      <c r="K9" s="2">
        <v>5.96</v>
      </c>
      <c r="L9" s="2">
        <v>5.37</v>
      </c>
      <c r="M9" s="2">
        <v>6.55</v>
      </c>
      <c r="N9" s="2">
        <v>11.251078202763413</v>
      </c>
      <c r="O9" s="2">
        <v>10</v>
      </c>
      <c r="P9" s="3">
        <v>0.59599999999999997</v>
      </c>
      <c r="Q9" s="3">
        <v>0.53700000000000003</v>
      </c>
      <c r="R9" s="3">
        <v>0.65500000000000003</v>
      </c>
    </row>
    <row r="10" spans="1:18" x14ac:dyDescent="0.3">
      <c r="A10" s="2">
        <v>9</v>
      </c>
      <c r="B10" s="2" t="s">
        <v>20</v>
      </c>
      <c r="C10" s="2" t="s">
        <v>48</v>
      </c>
      <c r="D10" s="2" t="s">
        <v>15</v>
      </c>
      <c r="E10" s="2" t="s">
        <v>18</v>
      </c>
      <c r="F10" s="2">
        <f>SUM(F8:F9)</f>
        <v>28</v>
      </c>
      <c r="G10" s="2">
        <f>SUM(G8:G9)</f>
        <v>1795</v>
      </c>
      <c r="K10" s="2">
        <v>5.79</v>
      </c>
      <c r="L10" s="2">
        <v>5.33</v>
      </c>
      <c r="M10" s="2">
        <v>6.24</v>
      </c>
      <c r="N10" s="2">
        <v>9.8352986477176145</v>
      </c>
      <c r="O10" s="2">
        <v>10</v>
      </c>
      <c r="P10" s="3">
        <v>0.57899999999999996</v>
      </c>
      <c r="Q10" s="3">
        <v>0.53300000000000003</v>
      </c>
      <c r="R10" s="3">
        <v>0.624</v>
      </c>
    </row>
    <row r="11" spans="1:18" x14ac:dyDescent="0.3">
      <c r="A11" s="2">
        <v>10</v>
      </c>
      <c r="B11" s="2" t="s">
        <v>21</v>
      </c>
      <c r="C11" s="2" t="s">
        <v>49</v>
      </c>
      <c r="D11" s="2" t="s">
        <v>15</v>
      </c>
      <c r="E11" s="2" t="s">
        <v>16</v>
      </c>
      <c r="F11" s="2">
        <v>6</v>
      </c>
      <c r="G11" s="2">
        <v>388</v>
      </c>
      <c r="H11" s="2">
        <v>17.7</v>
      </c>
      <c r="I11" s="2">
        <v>6</v>
      </c>
      <c r="J11" s="2">
        <v>24</v>
      </c>
      <c r="K11" s="2">
        <v>9.65</v>
      </c>
      <c r="L11" s="2">
        <v>7.83</v>
      </c>
      <c r="M11" s="2">
        <v>11.47</v>
      </c>
      <c r="N11" s="2">
        <v>18.29073591762134</v>
      </c>
      <c r="O11" s="2">
        <v>16</v>
      </c>
      <c r="P11" s="3">
        <v>0.60312500000000002</v>
      </c>
      <c r="Q11" s="3">
        <v>0.489375</v>
      </c>
      <c r="R11" s="3">
        <v>0.71687500000000004</v>
      </c>
    </row>
    <row r="12" spans="1:18" x14ac:dyDescent="0.3">
      <c r="A12" s="2">
        <v>11</v>
      </c>
      <c r="B12" s="2" t="s">
        <v>21</v>
      </c>
      <c r="C12" s="2" t="s">
        <v>49</v>
      </c>
      <c r="D12" s="2" t="s">
        <v>15</v>
      </c>
      <c r="E12" s="2" t="s">
        <v>17</v>
      </c>
      <c r="F12" s="2">
        <v>3</v>
      </c>
      <c r="G12" s="2">
        <v>119</v>
      </c>
      <c r="H12" s="2">
        <v>24.7</v>
      </c>
      <c r="I12" s="2">
        <v>17</v>
      </c>
      <c r="J12" s="2">
        <v>54</v>
      </c>
      <c r="K12" s="2">
        <v>11.9</v>
      </c>
      <c r="L12" s="2">
        <v>10.07</v>
      </c>
      <c r="M12" s="2">
        <v>13.72</v>
      </c>
      <c r="N12" s="2">
        <v>10.157346739392949</v>
      </c>
      <c r="O12" s="2">
        <v>16</v>
      </c>
      <c r="P12" s="3">
        <v>0.74375000000000002</v>
      </c>
      <c r="Q12" s="3">
        <v>0.62937500000000002</v>
      </c>
      <c r="R12" s="3">
        <v>0.85750000000000004</v>
      </c>
    </row>
    <row r="13" spans="1:18" x14ac:dyDescent="0.3">
      <c r="A13" s="2">
        <v>12</v>
      </c>
      <c r="B13" s="2" t="s">
        <v>21</v>
      </c>
      <c r="C13" s="2" t="s">
        <v>49</v>
      </c>
      <c r="D13" s="2" t="s">
        <v>15</v>
      </c>
      <c r="E13" s="2" t="s">
        <v>18</v>
      </c>
      <c r="F13" s="2">
        <f>SUM(F11:F12)</f>
        <v>9</v>
      </c>
      <c r="G13" s="2">
        <f>SUM(G11:G12)</f>
        <v>507</v>
      </c>
      <c r="K13" s="2">
        <v>10.15</v>
      </c>
      <c r="L13" s="2">
        <v>8.91</v>
      </c>
      <c r="M13" s="2">
        <v>11.39</v>
      </c>
      <c r="N13" s="2">
        <v>14.245234192862402</v>
      </c>
      <c r="O13" s="2">
        <v>16</v>
      </c>
      <c r="P13" s="3">
        <v>0.63437500000000002</v>
      </c>
      <c r="Q13" s="3">
        <v>0.55687500000000001</v>
      </c>
      <c r="R13" s="3">
        <v>0.71187500000000004</v>
      </c>
    </row>
    <row r="14" spans="1:18" x14ac:dyDescent="0.3">
      <c r="A14" s="2">
        <v>13</v>
      </c>
      <c r="B14" s="2" t="s">
        <v>22</v>
      </c>
      <c r="C14" s="2" t="s">
        <v>53</v>
      </c>
      <c r="D14" s="2" t="s">
        <v>15</v>
      </c>
      <c r="E14" s="2" t="s">
        <v>16</v>
      </c>
      <c r="F14" s="2">
        <v>3</v>
      </c>
      <c r="G14" s="2">
        <v>161</v>
      </c>
      <c r="H14" s="2">
        <v>22.3</v>
      </c>
      <c r="I14" s="2">
        <v>10.199999999999999</v>
      </c>
      <c r="J14" s="2">
        <v>24</v>
      </c>
      <c r="K14" s="2">
        <v>93.88</v>
      </c>
      <c r="L14" s="2">
        <v>93.74</v>
      </c>
      <c r="M14" s="2">
        <v>94.03</v>
      </c>
      <c r="N14" s="2">
        <v>0.93869578743123472</v>
      </c>
      <c r="O14" s="2">
        <v>100</v>
      </c>
      <c r="P14" s="3">
        <v>0.93879999999999997</v>
      </c>
      <c r="Q14" s="3">
        <v>0.9373999999999999</v>
      </c>
      <c r="R14" s="3">
        <v>0.94030000000000002</v>
      </c>
    </row>
    <row r="15" spans="1:18" x14ac:dyDescent="0.3">
      <c r="A15" s="2">
        <v>14</v>
      </c>
      <c r="B15" s="2" t="s">
        <v>22</v>
      </c>
      <c r="C15" s="2" t="s">
        <v>53</v>
      </c>
      <c r="D15" s="2" t="s">
        <v>15</v>
      </c>
      <c r="E15" s="2" t="s">
        <v>17</v>
      </c>
      <c r="F15" s="2">
        <v>7</v>
      </c>
      <c r="G15" s="2">
        <v>334</v>
      </c>
      <c r="H15" s="2">
        <v>37.299999999999997</v>
      </c>
      <c r="I15" s="2">
        <v>24</v>
      </c>
      <c r="J15" s="2">
        <v>78.900000000000006</v>
      </c>
      <c r="K15" s="2">
        <v>95.98</v>
      </c>
      <c r="L15" s="2">
        <v>93.65</v>
      </c>
      <c r="M15" s="2">
        <v>98.32</v>
      </c>
      <c r="N15" s="2">
        <v>21.772286821750274</v>
      </c>
      <c r="O15" s="2">
        <v>100</v>
      </c>
      <c r="P15" s="3">
        <v>0.95979999999999999</v>
      </c>
      <c r="Q15" s="3">
        <v>0.93650000000000011</v>
      </c>
      <c r="R15" s="3">
        <v>0.98319999999999996</v>
      </c>
    </row>
    <row r="16" spans="1:18" x14ac:dyDescent="0.3">
      <c r="A16" s="2">
        <v>15</v>
      </c>
      <c r="B16" s="2" t="s">
        <v>22</v>
      </c>
      <c r="C16" s="2" t="s">
        <v>53</v>
      </c>
      <c r="D16" s="2" t="s">
        <v>15</v>
      </c>
      <c r="E16" s="2" t="s">
        <v>18</v>
      </c>
      <c r="F16" s="2">
        <f>SUM(F14:F15)</f>
        <v>10</v>
      </c>
      <c r="G16" s="2">
        <f>SUM(G14:G15)</f>
        <v>495</v>
      </c>
      <c r="K16" s="2">
        <v>95.53</v>
      </c>
      <c r="L16" s="2">
        <v>94.02</v>
      </c>
      <c r="M16" s="2">
        <v>97.04</v>
      </c>
      <c r="N16" s="2">
        <v>17.140499564562994</v>
      </c>
      <c r="O16" s="2">
        <v>100</v>
      </c>
      <c r="P16" s="3">
        <v>0.95530000000000004</v>
      </c>
      <c r="Q16" s="3">
        <v>0.94019999999999992</v>
      </c>
      <c r="R16" s="3">
        <v>0.97040000000000004</v>
      </c>
    </row>
    <row r="17" spans="1:18" x14ac:dyDescent="0.3">
      <c r="A17" s="2">
        <v>16</v>
      </c>
      <c r="B17" s="2" t="s">
        <v>23</v>
      </c>
      <c r="C17" s="2" t="s">
        <v>51</v>
      </c>
      <c r="D17" s="2" t="s">
        <v>15</v>
      </c>
      <c r="E17" s="2" t="s">
        <v>16</v>
      </c>
      <c r="F17" s="2">
        <v>3</v>
      </c>
      <c r="G17" s="2">
        <v>161</v>
      </c>
      <c r="H17" s="2">
        <v>22.3</v>
      </c>
      <c r="I17" s="2">
        <v>10.199999999999999</v>
      </c>
      <c r="J17" s="2">
        <v>24</v>
      </c>
      <c r="K17" s="2">
        <v>88.51</v>
      </c>
      <c r="L17" s="2">
        <v>88.28</v>
      </c>
      <c r="M17" s="2">
        <v>88.73</v>
      </c>
      <c r="N17" s="2">
        <v>1.4565969115312041</v>
      </c>
      <c r="O17" s="2">
        <v>100</v>
      </c>
      <c r="P17" s="3">
        <v>0.8851</v>
      </c>
      <c r="Q17" s="3">
        <v>0.88280000000000003</v>
      </c>
      <c r="R17" s="3">
        <v>0.88730000000000009</v>
      </c>
    </row>
    <row r="18" spans="1:18" x14ac:dyDescent="0.3">
      <c r="A18" s="2">
        <v>17</v>
      </c>
      <c r="B18" s="2" t="s">
        <v>23</v>
      </c>
      <c r="C18" s="2" t="s">
        <v>51</v>
      </c>
      <c r="D18" s="2" t="s">
        <v>15</v>
      </c>
      <c r="E18" s="2" t="s">
        <v>17</v>
      </c>
      <c r="F18" s="2">
        <v>7</v>
      </c>
      <c r="G18" s="2">
        <v>334</v>
      </c>
      <c r="H18" s="2">
        <v>37.299999999999997</v>
      </c>
      <c r="I18" s="2">
        <v>24</v>
      </c>
      <c r="J18" s="2">
        <v>78.900000000000006</v>
      </c>
      <c r="K18" s="2">
        <v>91.99</v>
      </c>
      <c r="L18" s="2">
        <v>88.97</v>
      </c>
      <c r="M18" s="2">
        <v>95</v>
      </c>
      <c r="N18" s="2">
        <v>28.11282431159626</v>
      </c>
      <c r="O18" s="2">
        <v>100</v>
      </c>
      <c r="P18" s="3">
        <v>0.91989999999999994</v>
      </c>
      <c r="Q18" s="3">
        <v>0.88969999999999994</v>
      </c>
      <c r="R18" s="3">
        <v>0.95</v>
      </c>
    </row>
    <row r="19" spans="1:18" x14ac:dyDescent="0.3">
      <c r="A19" s="2">
        <v>18</v>
      </c>
      <c r="B19" s="2" t="s">
        <v>23</v>
      </c>
      <c r="C19" s="2" t="s">
        <v>51</v>
      </c>
      <c r="D19" s="2" t="s">
        <v>15</v>
      </c>
      <c r="E19" s="2" t="s">
        <v>18</v>
      </c>
      <c r="F19" s="2">
        <f>SUM(F17:F18)</f>
        <v>10</v>
      </c>
      <c r="G19" s="2">
        <f>SUM(G17:G18)</f>
        <v>495</v>
      </c>
      <c r="K19" s="2">
        <v>91.04</v>
      </c>
      <c r="L19" s="2">
        <v>88.97</v>
      </c>
      <c r="M19" s="2">
        <v>93.11</v>
      </c>
      <c r="N19" s="2">
        <v>23.49724112493065</v>
      </c>
      <c r="O19" s="2">
        <v>100</v>
      </c>
      <c r="P19" s="3">
        <v>0.9104000000000001</v>
      </c>
      <c r="Q19" s="3">
        <v>0.88969999999999994</v>
      </c>
      <c r="R19" s="3">
        <v>0.93110000000000004</v>
      </c>
    </row>
    <row r="20" spans="1:18" x14ac:dyDescent="0.3">
      <c r="A20" s="2">
        <v>19</v>
      </c>
      <c r="B20" s="2" t="s">
        <v>24</v>
      </c>
      <c r="C20" s="2" t="s">
        <v>50</v>
      </c>
      <c r="D20" s="2" t="s">
        <v>15</v>
      </c>
      <c r="E20" s="2" t="s">
        <v>16</v>
      </c>
      <c r="F20" s="2">
        <v>3</v>
      </c>
      <c r="G20" s="2">
        <v>161</v>
      </c>
      <c r="H20" s="2">
        <v>22.3</v>
      </c>
      <c r="I20" s="2">
        <v>10.199999999999999</v>
      </c>
      <c r="J20" s="2">
        <v>24</v>
      </c>
      <c r="K20" s="2">
        <v>79.209999999999994</v>
      </c>
      <c r="L20" s="2">
        <v>78.22</v>
      </c>
      <c r="M20" s="2">
        <v>80.2</v>
      </c>
      <c r="N20" s="2">
        <v>6.4090264107372708</v>
      </c>
      <c r="O20" s="2">
        <v>100</v>
      </c>
      <c r="P20" s="3">
        <v>0.79209999999999992</v>
      </c>
      <c r="Q20" s="3">
        <v>0.78220000000000001</v>
      </c>
      <c r="R20" s="3">
        <v>0.80200000000000005</v>
      </c>
    </row>
    <row r="21" spans="1:18" x14ac:dyDescent="0.3">
      <c r="A21" s="2">
        <v>20</v>
      </c>
      <c r="B21" s="2" t="s">
        <v>24</v>
      </c>
      <c r="C21" s="2" t="s">
        <v>50</v>
      </c>
      <c r="D21" s="2" t="s">
        <v>15</v>
      </c>
      <c r="E21" s="2" t="s">
        <v>17</v>
      </c>
      <c r="F21" s="2">
        <v>7</v>
      </c>
      <c r="G21" s="2">
        <v>334</v>
      </c>
      <c r="H21" s="2">
        <v>37.299999999999997</v>
      </c>
      <c r="I21" s="2">
        <v>24</v>
      </c>
      <c r="J21" s="2">
        <v>78.900000000000006</v>
      </c>
      <c r="K21" s="2">
        <v>84.26</v>
      </c>
      <c r="L21" s="2">
        <v>78.239999999999995</v>
      </c>
      <c r="M21" s="2">
        <v>90.27</v>
      </c>
      <c r="N21" s="2">
        <v>56.085783825622379</v>
      </c>
      <c r="O21" s="2">
        <v>100</v>
      </c>
      <c r="P21" s="3">
        <v>0.84260000000000002</v>
      </c>
      <c r="Q21" s="3">
        <v>0.78239999999999998</v>
      </c>
      <c r="R21" s="3">
        <v>0.90269999999999995</v>
      </c>
    </row>
    <row r="22" spans="1:18" x14ac:dyDescent="0.3">
      <c r="A22" s="2">
        <v>21</v>
      </c>
      <c r="B22" s="2" t="s">
        <v>24</v>
      </c>
      <c r="C22" s="2" t="s">
        <v>50</v>
      </c>
      <c r="D22" s="2" t="s">
        <v>15</v>
      </c>
      <c r="E22" s="2" t="s">
        <v>18</v>
      </c>
      <c r="F22" s="2">
        <f>SUM(F20:F21)</f>
        <v>10</v>
      </c>
      <c r="G22" s="2">
        <f>SUM(G20:G21)</f>
        <v>495</v>
      </c>
      <c r="K22" s="2">
        <v>82.71</v>
      </c>
      <c r="L22" s="2">
        <v>78.709999999999994</v>
      </c>
      <c r="M22" s="2">
        <v>86.71</v>
      </c>
      <c r="N22" s="2">
        <v>45.405296859769365</v>
      </c>
      <c r="O22" s="2">
        <v>100</v>
      </c>
      <c r="P22" s="3">
        <v>0.82709999999999995</v>
      </c>
      <c r="Q22" s="3">
        <v>0.78709999999999991</v>
      </c>
      <c r="R22" s="3">
        <v>0.86709999999999998</v>
      </c>
    </row>
    <row r="23" spans="1:18" x14ac:dyDescent="0.3">
      <c r="A23" s="2">
        <v>22</v>
      </c>
      <c r="B23" s="2" t="s">
        <v>25</v>
      </c>
      <c r="C23" s="2" t="s">
        <v>52</v>
      </c>
      <c r="D23" s="2" t="s">
        <v>15</v>
      </c>
      <c r="E23" s="2" t="s">
        <v>16</v>
      </c>
      <c r="F23" s="2">
        <v>3</v>
      </c>
      <c r="G23" s="2">
        <v>161</v>
      </c>
      <c r="H23" s="2">
        <v>22.3</v>
      </c>
      <c r="I23" s="2">
        <v>10.199999999999999</v>
      </c>
      <c r="J23" s="2">
        <v>24</v>
      </c>
      <c r="K23" s="2">
        <v>81.260000000000005</v>
      </c>
      <c r="L23" s="2">
        <v>80.16</v>
      </c>
      <c r="M23" s="2">
        <v>82.36</v>
      </c>
      <c r="N23" s="2">
        <v>7.1211404563747402</v>
      </c>
      <c r="O23" s="2">
        <v>100</v>
      </c>
      <c r="P23" s="3">
        <v>0.8126000000000001</v>
      </c>
      <c r="Q23" s="3">
        <v>0.80159999999999998</v>
      </c>
      <c r="R23" s="3">
        <v>0.8236</v>
      </c>
    </row>
    <row r="24" spans="1:18" x14ac:dyDescent="0.3">
      <c r="A24" s="2">
        <v>23</v>
      </c>
      <c r="B24" s="2" t="s">
        <v>25</v>
      </c>
      <c r="C24" s="2" t="s">
        <v>52</v>
      </c>
      <c r="D24" s="2" t="s">
        <v>15</v>
      </c>
      <c r="E24" s="2" t="s">
        <v>17</v>
      </c>
      <c r="F24" s="2">
        <v>7</v>
      </c>
      <c r="G24" s="2">
        <v>334</v>
      </c>
      <c r="H24" s="2">
        <v>37.299999999999997</v>
      </c>
      <c r="I24" s="2">
        <v>24</v>
      </c>
      <c r="J24" s="2">
        <v>78.900000000000006</v>
      </c>
      <c r="K24" s="2">
        <v>87.82</v>
      </c>
      <c r="L24" s="2">
        <v>84.07</v>
      </c>
      <c r="M24" s="2">
        <v>91.57</v>
      </c>
      <c r="N24" s="2">
        <v>34.966199392532651</v>
      </c>
      <c r="O24" s="2">
        <v>100</v>
      </c>
      <c r="P24" s="3">
        <v>0.87819999999999998</v>
      </c>
      <c r="Q24" s="3">
        <v>0.84069999999999989</v>
      </c>
      <c r="R24" s="3">
        <v>0.91569999999999996</v>
      </c>
    </row>
    <row r="25" spans="1:18" x14ac:dyDescent="0.3">
      <c r="A25" s="2">
        <v>24</v>
      </c>
      <c r="B25" s="2" t="s">
        <v>25</v>
      </c>
      <c r="C25" s="2" t="s">
        <v>52</v>
      </c>
      <c r="D25" s="2" t="s">
        <v>15</v>
      </c>
      <c r="E25" s="2" t="s">
        <v>18</v>
      </c>
      <c r="F25" s="2">
        <f>SUM(F23:F24)</f>
        <v>10</v>
      </c>
      <c r="G25" s="2">
        <f>SUM(G23:G24)</f>
        <v>495</v>
      </c>
      <c r="K25" s="2">
        <v>85.85</v>
      </c>
      <c r="L25" s="2">
        <v>82.82</v>
      </c>
      <c r="M25" s="2">
        <v>88.87</v>
      </c>
      <c r="N25" s="2">
        <v>34.33775575020065</v>
      </c>
      <c r="O25" s="2">
        <v>100</v>
      </c>
      <c r="P25" s="3">
        <v>0.85849999999999993</v>
      </c>
      <c r="Q25" s="3">
        <v>0.82819999999999994</v>
      </c>
      <c r="R25" s="3">
        <v>0.88870000000000005</v>
      </c>
    </row>
    <row r="26" spans="1:18" x14ac:dyDescent="0.3">
      <c r="A26" s="2">
        <v>25</v>
      </c>
      <c r="B26" s="2" t="s">
        <v>26</v>
      </c>
      <c r="C26" s="2" t="s">
        <v>54</v>
      </c>
      <c r="D26" s="2" t="s">
        <v>15</v>
      </c>
      <c r="E26" s="2" t="s">
        <v>16</v>
      </c>
      <c r="F26" s="2">
        <v>5</v>
      </c>
      <c r="G26" s="2">
        <v>233</v>
      </c>
      <c r="H26" s="2">
        <v>18.2</v>
      </c>
      <c r="I26" s="2">
        <v>6</v>
      </c>
      <c r="J26" s="2">
        <v>24</v>
      </c>
      <c r="K26" s="2">
        <v>65.37</v>
      </c>
      <c r="L26" s="2">
        <v>58.75</v>
      </c>
      <c r="M26" s="2">
        <v>71.989999999999995</v>
      </c>
      <c r="N26" s="2">
        <v>51.556078774885805</v>
      </c>
      <c r="O26" s="2">
        <v>100</v>
      </c>
      <c r="P26" s="3">
        <v>0.65370000000000006</v>
      </c>
      <c r="Q26" s="3">
        <v>0.58750000000000002</v>
      </c>
      <c r="R26" s="3">
        <v>0.71989999999999998</v>
      </c>
    </row>
    <row r="27" spans="1:18" x14ac:dyDescent="0.3">
      <c r="A27" s="2">
        <v>26</v>
      </c>
      <c r="B27" s="2" t="s">
        <v>26</v>
      </c>
      <c r="C27" s="2" t="s">
        <v>54</v>
      </c>
      <c r="D27" s="2" t="s">
        <v>15</v>
      </c>
      <c r="E27" s="2" t="s">
        <v>17</v>
      </c>
      <c r="F27" s="2">
        <v>7</v>
      </c>
      <c r="G27" s="2">
        <v>334</v>
      </c>
      <c r="H27" s="2">
        <v>37.299999999999997</v>
      </c>
      <c r="I27" s="2">
        <v>24</v>
      </c>
      <c r="J27" s="2">
        <v>78.900000000000006</v>
      </c>
      <c r="K27" s="2">
        <v>78.28</v>
      </c>
      <c r="L27" s="2">
        <v>72.5</v>
      </c>
      <c r="M27" s="2">
        <v>84.07</v>
      </c>
      <c r="N27" s="2">
        <v>53.94119026288034</v>
      </c>
      <c r="O27" s="2">
        <v>100</v>
      </c>
      <c r="P27" s="3">
        <v>0.78280000000000005</v>
      </c>
      <c r="Q27" s="3">
        <v>0.72499999999999998</v>
      </c>
      <c r="R27" s="3">
        <v>0.84069999999999989</v>
      </c>
    </row>
    <row r="28" spans="1:18" x14ac:dyDescent="0.3">
      <c r="A28" s="2">
        <v>27</v>
      </c>
      <c r="B28" s="2" t="s">
        <v>26</v>
      </c>
      <c r="C28" s="2" t="s">
        <v>54</v>
      </c>
      <c r="D28" s="2" t="s">
        <v>15</v>
      </c>
      <c r="E28" s="2" t="s">
        <v>18</v>
      </c>
      <c r="F28" s="2">
        <f>SUM(F26:F27)</f>
        <v>12</v>
      </c>
      <c r="G28" s="2">
        <f>SUM(G26:G27)</f>
        <v>567</v>
      </c>
      <c r="K28" s="2">
        <v>72.89</v>
      </c>
      <c r="L28" s="2">
        <v>67.92</v>
      </c>
      <c r="M28" s="2">
        <v>77.86</v>
      </c>
      <c r="N28" s="2">
        <v>60.379824563224034</v>
      </c>
      <c r="O28" s="2">
        <v>100</v>
      </c>
      <c r="P28" s="3">
        <v>0.72889999999999999</v>
      </c>
      <c r="Q28" s="3">
        <v>0.67920000000000003</v>
      </c>
      <c r="R28" s="3">
        <v>0.77859999999999996</v>
      </c>
    </row>
    <row r="29" spans="1:18" x14ac:dyDescent="0.3">
      <c r="A29" s="2">
        <v>28</v>
      </c>
      <c r="B29" s="2" t="s">
        <v>27</v>
      </c>
      <c r="C29" s="2" t="s">
        <v>55</v>
      </c>
      <c r="D29" s="2" t="s">
        <v>15</v>
      </c>
      <c r="E29" s="2" t="s">
        <v>16</v>
      </c>
      <c r="F29" s="2">
        <v>4</v>
      </c>
      <c r="G29" s="2">
        <v>81</v>
      </c>
      <c r="H29" s="2">
        <v>13.9</v>
      </c>
      <c r="I29" s="2">
        <v>10.199999999999999</v>
      </c>
      <c r="J29" s="2">
        <v>24.9</v>
      </c>
      <c r="K29" s="2">
        <v>82.49</v>
      </c>
      <c r="L29" s="2">
        <v>70.180000000000007</v>
      </c>
      <c r="M29" s="2">
        <v>94.81</v>
      </c>
      <c r="N29" s="2">
        <v>56.548469387755091</v>
      </c>
      <c r="O29" s="2">
        <v>100</v>
      </c>
      <c r="P29" s="3">
        <v>0.82489999999999997</v>
      </c>
      <c r="Q29" s="3">
        <v>0.70180000000000009</v>
      </c>
      <c r="R29" s="3">
        <v>0.94810000000000005</v>
      </c>
    </row>
    <row r="30" spans="1:18" x14ac:dyDescent="0.3">
      <c r="A30" s="2">
        <v>29</v>
      </c>
      <c r="B30" s="2" t="s">
        <v>27</v>
      </c>
      <c r="C30" s="2" t="s">
        <v>55</v>
      </c>
      <c r="D30" s="2" t="s">
        <v>15</v>
      </c>
      <c r="E30" s="2" t="s">
        <v>17</v>
      </c>
      <c r="F30" s="2">
        <v>5</v>
      </c>
      <c r="G30" s="2">
        <v>309</v>
      </c>
      <c r="H30" s="2">
        <v>37.5</v>
      </c>
      <c r="I30" s="2">
        <v>9</v>
      </c>
      <c r="J30" s="2">
        <v>62</v>
      </c>
      <c r="K30" s="2">
        <v>82.36</v>
      </c>
      <c r="L30" s="2">
        <v>72.75</v>
      </c>
      <c r="M30" s="2">
        <v>91.97</v>
      </c>
      <c r="N30" s="2">
        <v>86.18795098891998</v>
      </c>
      <c r="O30" s="2">
        <v>100</v>
      </c>
      <c r="P30" s="3">
        <v>0.8236</v>
      </c>
      <c r="Q30" s="3">
        <v>0.72750000000000004</v>
      </c>
      <c r="R30" s="3">
        <v>0.91969999999999996</v>
      </c>
    </row>
    <row r="31" spans="1:18" x14ac:dyDescent="0.3">
      <c r="A31" s="2">
        <v>30</v>
      </c>
      <c r="B31" s="2" t="s">
        <v>27</v>
      </c>
      <c r="C31" s="2" t="s">
        <v>55</v>
      </c>
      <c r="D31" s="2" t="s">
        <v>15</v>
      </c>
      <c r="E31" s="2" t="s">
        <v>18</v>
      </c>
      <c r="F31" s="2">
        <f>SUM(F29:F30)</f>
        <v>9</v>
      </c>
      <c r="G31" s="2">
        <f>SUM(G29:G30)</f>
        <v>390</v>
      </c>
      <c r="K31" s="2">
        <v>82.4</v>
      </c>
      <c r="L31" s="2">
        <v>77.650000000000006</v>
      </c>
      <c r="M31" s="2">
        <v>89.28</v>
      </c>
      <c r="N31" s="2">
        <v>58.590330960221749</v>
      </c>
      <c r="O31" s="2">
        <v>100</v>
      </c>
      <c r="P31" s="3">
        <v>0.82400000000000007</v>
      </c>
      <c r="Q31" s="3">
        <v>0.77650000000000008</v>
      </c>
      <c r="R31" s="3">
        <v>0.89280000000000004</v>
      </c>
    </row>
    <row r="32" spans="1:18" x14ac:dyDescent="0.3">
      <c r="A32" s="2">
        <v>31</v>
      </c>
      <c r="B32" s="2" t="s">
        <v>28</v>
      </c>
      <c r="C32" s="2" t="s">
        <v>56</v>
      </c>
      <c r="D32" s="2" t="s">
        <v>15</v>
      </c>
      <c r="E32" s="2" t="s">
        <v>16</v>
      </c>
      <c r="F32" s="2">
        <v>4</v>
      </c>
      <c r="G32" s="2">
        <v>407</v>
      </c>
      <c r="H32" s="2">
        <v>6.7</v>
      </c>
      <c r="I32" s="2">
        <v>6</v>
      </c>
      <c r="J32" s="2">
        <v>12</v>
      </c>
      <c r="K32" s="2">
        <v>73.92</v>
      </c>
      <c r="L32" s="2">
        <v>61.27</v>
      </c>
      <c r="M32" s="2">
        <v>86.58</v>
      </c>
      <c r="N32" s="2">
        <v>130.25766320315518</v>
      </c>
      <c r="O32" s="2">
        <v>100</v>
      </c>
      <c r="P32" s="3">
        <v>0.73919999999999997</v>
      </c>
      <c r="Q32" s="3">
        <v>0.61270000000000002</v>
      </c>
      <c r="R32" s="3">
        <v>0.86580000000000001</v>
      </c>
    </row>
    <row r="33" spans="1:18" x14ac:dyDescent="0.3">
      <c r="A33" s="2">
        <v>32</v>
      </c>
      <c r="B33" s="2" t="s">
        <v>28</v>
      </c>
      <c r="C33" s="2" t="s">
        <v>56</v>
      </c>
      <c r="D33" s="2" t="s">
        <v>15</v>
      </c>
      <c r="E33" s="2" t="s">
        <v>17</v>
      </c>
      <c r="F33" s="2">
        <v>11</v>
      </c>
      <c r="G33" s="2">
        <v>532</v>
      </c>
      <c r="H33" s="2">
        <v>21.4</v>
      </c>
      <c r="I33" s="2">
        <v>5.3</v>
      </c>
      <c r="J33" s="2">
        <v>41</v>
      </c>
      <c r="K33" s="2">
        <v>76.709999999999994</v>
      </c>
      <c r="L33" s="2">
        <v>72.739999999999995</v>
      </c>
      <c r="M33" s="2">
        <v>80.680000000000007</v>
      </c>
      <c r="N33" s="2">
        <v>46.718646429431764</v>
      </c>
      <c r="O33" s="2">
        <v>100</v>
      </c>
      <c r="P33" s="3">
        <v>0.76709999999999989</v>
      </c>
      <c r="Q33" s="3">
        <v>0.72739999999999994</v>
      </c>
      <c r="R33" s="3">
        <v>0.80680000000000007</v>
      </c>
    </row>
    <row r="34" spans="1:18" x14ac:dyDescent="0.3">
      <c r="A34" s="2">
        <v>33</v>
      </c>
      <c r="B34" s="2" t="s">
        <v>28</v>
      </c>
      <c r="C34" s="2" t="s">
        <v>56</v>
      </c>
      <c r="D34" s="2" t="s">
        <v>15</v>
      </c>
      <c r="E34" s="2" t="s">
        <v>18</v>
      </c>
      <c r="F34" s="2">
        <f>SUM(F32:F33)</f>
        <v>15</v>
      </c>
      <c r="G34" s="2">
        <f>SUM(G32:G33)</f>
        <v>939</v>
      </c>
      <c r="K34" s="2">
        <v>76</v>
      </c>
      <c r="L34" s="2">
        <v>72.680000000000007</v>
      </c>
      <c r="M34" s="2">
        <v>79.31</v>
      </c>
      <c r="N34" s="2">
        <v>51.827499666977239</v>
      </c>
      <c r="O34" s="2">
        <v>100</v>
      </c>
      <c r="P34" s="3">
        <v>0.76</v>
      </c>
      <c r="Q34" s="3">
        <v>0.72680000000000011</v>
      </c>
      <c r="R34" s="3">
        <v>0.79310000000000003</v>
      </c>
    </row>
    <row r="35" spans="1:18" x14ac:dyDescent="0.3">
      <c r="A35" s="2">
        <v>34</v>
      </c>
      <c r="B35" s="2" t="s">
        <v>29</v>
      </c>
      <c r="C35" s="2" t="s">
        <v>57</v>
      </c>
      <c r="D35" s="2" t="s">
        <v>15</v>
      </c>
      <c r="E35" s="2" t="s">
        <v>16</v>
      </c>
      <c r="F35" s="2">
        <v>3</v>
      </c>
      <c r="G35" s="2">
        <v>87</v>
      </c>
      <c r="H35" s="2">
        <v>9.1</v>
      </c>
      <c r="I35" s="2">
        <v>6</v>
      </c>
      <c r="J35" s="2">
        <v>12</v>
      </c>
      <c r="K35" s="2">
        <v>80.86</v>
      </c>
      <c r="L35" s="2">
        <v>61.22</v>
      </c>
      <c r="M35" s="2">
        <v>100.5</v>
      </c>
      <c r="N35" s="2">
        <v>93.464145205441</v>
      </c>
      <c r="O35" s="2">
        <v>100</v>
      </c>
      <c r="P35" s="3">
        <v>0.80859999999999999</v>
      </c>
      <c r="Q35" s="3">
        <v>0.61219999999999997</v>
      </c>
      <c r="R35" s="3">
        <v>1.0049999999999999</v>
      </c>
    </row>
    <row r="36" spans="1:18" x14ac:dyDescent="0.3">
      <c r="A36" s="2">
        <v>35</v>
      </c>
      <c r="B36" s="2" t="s">
        <v>29</v>
      </c>
      <c r="C36" s="2" t="s">
        <v>57</v>
      </c>
      <c r="D36" s="2" t="s">
        <v>15</v>
      </c>
      <c r="E36" s="2" t="s">
        <v>17</v>
      </c>
      <c r="F36" s="2">
        <v>8</v>
      </c>
      <c r="G36" s="2">
        <v>352</v>
      </c>
      <c r="H36" s="2">
        <v>28.5</v>
      </c>
      <c r="I36" s="2">
        <v>7.3</v>
      </c>
      <c r="J36" s="2">
        <v>41</v>
      </c>
      <c r="K36" s="2">
        <v>83.89</v>
      </c>
      <c r="L36" s="2">
        <v>79.52</v>
      </c>
      <c r="M36" s="2">
        <v>88.26</v>
      </c>
      <c r="N36" s="2">
        <v>41.83085075597635</v>
      </c>
      <c r="O36" s="2">
        <v>100</v>
      </c>
      <c r="P36" s="3">
        <v>0.83889999999999998</v>
      </c>
      <c r="Q36" s="3">
        <v>0.79519999999999991</v>
      </c>
      <c r="R36" s="3">
        <v>0.88260000000000005</v>
      </c>
    </row>
    <row r="37" spans="1:18" x14ac:dyDescent="0.3">
      <c r="A37" s="2">
        <v>36</v>
      </c>
      <c r="B37" s="2" t="s">
        <v>29</v>
      </c>
      <c r="C37" s="2" t="s">
        <v>57</v>
      </c>
      <c r="D37" s="2" t="s">
        <v>15</v>
      </c>
      <c r="E37" s="2" t="s">
        <v>18</v>
      </c>
      <c r="F37" s="2">
        <f>SUM(F35:F36)</f>
        <v>11</v>
      </c>
      <c r="G37" s="2">
        <f>SUM(G35:G36)</f>
        <v>439</v>
      </c>
      <c r="K37" s="2">
        <v>83.31</v>
      </c>
      <c r="L37" s="2">
        <v>80.05</v>
      </c>
      <c r="M37" s="2">
        <v>86.57</v>
      </c>
      <c r="N37" s="2">
        <v>34.849278315105948</v>
      </c>
      <c r="O37" s="2">
        <v>100</v>
      </c>
      <c r="P37" s="3">
        <v>0.83310000000000006</v>
      </c>
      <c r="Q37" s="3">
        <v>0.80049999999999999</v>
      </c>
      <c r="R37" s="3">
        <v>0.86569999999999991</v>
      </c>
    </row>
    <row r="38" spans="1:18" x14ac:dyDescent="0.3">
      <c r="A38" s="2">
        <v>37</v>
      </c>
      <c r="B38" s="2" t="s">
        <v>30</v>
      </c>
      <c r="C38" s="2" t="s">
        <v>59</v>
      </c>
      <c r="D38" s="2" t="s">
        <v>15</v>
      </c>
      <c r="E38" s="2" t="s">
        <v>16</v>
      </c>
      <c r="F38" s="2">
        <v>2</v>
      </c>
      <c r="G38" s="2">
        <v>49</v>
      </c>
      <c r="H38" s="2">
        <v>11.2</v>
      </c>
      <c r="I38" s="2">
        <v>10.7</v>
      </c>
      <c r="J38" s="2">
        <v>12</v>
      </c>
      <c r="K38" s="2">
        <v>97.96</v>
      </c>
      <c r="L38" s="2">
        <v>78.62</v>
      </c>
      <c r="M38" s="2">
        <v>117.3</v>
      </c>
      <c r="N38" s="2">
        <v>69.071428571428555</v>
      </c>
      <c r="O38" s="2">
        <v>100</v>
      </c>
      <c r="P38" s="3">
        <v>0.97959999999999992</v>
      </c>
      <c r="Q38" s="3">
        <v>0.78620000000000001</v>
      </c>
      <c r="R38" s="3">
        <v>1.173</v>
      </c>
    </row>
    <row r="39" spans="1:18" x14ac:dyDescent="0.3">
      <c r="A39" s="2">
        <v>38</v>
      </c>
      <c r="B39" s="2" t="s">
        <v>30</v>
      </c>
      <c r="C39" s="2" t="s">
        <v>59</v>
      </c>
      <c r="D39" s="2" t="s">
        <v>15</v>
      </c>
      <c r="E39" s="2" t="s">
        <v>17</v>
      </c>
      <c r="F39" s="2">
        <v>3</v>
      </c>
      <c r="G39" s="2">
        <v>155</v>
      </c>
      <c r="H39" s="2">
        <v>21.5</v>
      </c>
      <c r="I39" s="2">
        <v>9</v>
      </c>
      <c r="J39" s="2">
        <v>62</v>
      </c>
      <c r="K39" s="2">
        <v>94.4</v>
      </c>
      <c r="L39" s="2">
        <v>84.03</v>
      </c>
      <c r="M39" s="2">
        <v>104.78</v>
      </c>
      <c r="N39" s="2">
        <v>65.901892004659743</v>
      </c>
      <c r="O39" s="2">
        <v>100</v>
      </c>
      <c r="P39" s="3">
        <v>0.94400000000000006</v>
      </c>
      <c r="Q39" s="3">
        <v>0.84030000000000005</v>
      </c>
      <c r="R39" s="3">
        <v>1.0478000000000001</v>
      </c>
    </row>
    <row r="40" spans="1:18" x14ac:dyDescent="0.3">
      <c r="A40" s="2">
        <v>39</v>
      </c>
      <c r="B40" s="2" t="s">
        <v>30</v>
      </c>
      <c r="C40" s="2" t="s">
        <v>59</v>
      </c>
      <c r="D40" s="2" t="s">
        <v>15</v>
      </c>
      <c r="E40" s="2" t="s">
        <v>18</v>
      </c>
      <c r="F40" s="2">
        <f>SUM(F38:F39)</f>
        <v>5</v>
      </c>
      <c r="G40" s="2">
        <f>SUM(G38:G39)</f>
        <v>204</v>
      </c>
      <c r="K40" s="2">
        <v>95.52</v>
      </c>
      <c r="L40" s="2">
        <v>91.83</v>
      </c>
      <c r="M40" s="2">
        <v>99.21</v>
      </c>
      <c r="N40" s="2">
        <v>26.889664185023573</v>
      </c>
      <c r="O40" s="2">
        <v>100</v>
      </c>
      <c r="P40" s="3">
        <v>0.95519999999999994</v>
      </c>
      <c r="Q40" s="3">
        <v>0.91830000000000001</v>
      </c>
      <c r="R40" s="3">
        <v>0.99209999999999998</v>
      </c>
    </row>
    <row r="41" spans="1:18" x14ac:dyDescent="0.3">
      <c r="A41" s="2">
        <v>40</v>
      </c>
      <c r="B41" s="2" t="s">
        <v>31</v>
      </c>
      <c r="C41" s="2" t="s">
        <v>60</v>
      </c>
      <c r="D41" s="2" t="s">
        <v>15</v>
      </c>
      <c r="E41" s="2" t="s">
        <v>16</v>
      </c>
      <c r="F41" s="2">
        <v>3</v>
      </c>
      <c r="G41" s="2">
        <v>392</v>
      </c>
      <c r="H41" s="2">
        <v>6.5</v>
      </c>
      <c r="I41" s="2">
        <v>6</v>
      </c>
      <c r="J41" s="2">
        <v>12</v>
      </c>
      <c r="K41" s="2">
        <v>94.94</v>
      </c>
      <c r="L41" s="2">
        <v>87.38</v>
      </c>
      <c r="M41" s="2">
        <v>102.5</v>
      </c>
      <c r="N41" s="2">
        <v>76.367532368147167</v>
      </c>
      <c r="O41" s="2">
        <v>100</v>
      </c>
      <c r="P41" s="3">
        <v>0.94940000000000002</v>
      </c>
      <c r="Q41" s="3">
        <v>0.87379999999999991</v>
      </c>
      <c r="R41" s="3">
        <v>1.0249999999999999</v>
      </c>
    </row>
    <row r="42" spans="1:18" x14ac:dyDescent="0.3">
      <c r="A42" s="2">
        <v>41</v>
      </c>
      <c r="B42" s="2" t="s">
        <v>31</v>
      </c>
      <c r="C42" s="2" t="s">
        <v>60</v>
      </c>
      <c r="D42" s="2" t="s">
        <v>15</v>
      </c>
      <c r="E42" s="2" t="s">
        <v>17</v>
      </c>
      <c r="F42" s="2">
        <v>7</v>
      </c>
      <c r="G42" s="2">
        <v>317</v>
      </c>
      <c r="H42" s="2">
        <v>12.9</v>
      </c>
      <c r="I42" s="2">
        <v>5.3</v>
      </c>
      <c r="J42" s="2">
        <v>35.6</v>
      </c>
      <c r="K42" s="2">
        <v>94.43</v>
      </c>
      <c r="L42" s="2">
        <v>92.3</v>
      </c>
      <c r="M42" s="2">
        <v>96.57</v>
      </c>
      <c r="N42" s="2">
        <v>19.394180762511702</v>
      </c>
      <c r="O42" s="2">
        <v>100</v>
      </c>
      <c r="P42" s="3">
        <v>0.94430000000000003</v>
      </c>
      <c r="Q42" s="3">
        <v>0.92299999999999993</v>
      </c>
      <c r="R42" s="3">
        <v>0.96569999999999989</v>
      </c>
    </row>
    <row r="43" spans="1:18" x14ac:dyDescent="0.3">
      <c r="A43" s="2">
        <v>42</v>
      </c>
      <c r="B43" s="2" t="s">
        <v>31</v>
      </c>
      <c r="C43" s="2" t="s">
        <v>60</v>
      </c>
      <c r="D43" s="2" t="s">
        <v>15</v>
      </c>
      <c r="E43" s="2" t="s">
        <v>18</v>
      </c>
      <c r="F43" s="2">
        <f>SUM(F41:F42)</f>
        <v>10</v>
      </c>
      <c r="G43" s="2">
        <f>SUM(G41:G42)</f>
        <v>709</v>
      </c>
      <c r="K43" s="2">
        <v>94.46</v>
      </c>
      <c r="L43" s="2">
        <v>92.78</v>
      </c>
      <c r="M43" s="2">
        <v>96.13</v>
      </c>
      <c r="N43" s="2">
        <v>22.755262908967342</v>
      </c>
      <c r="O43" s="2">
        <v>100</v>
      </c>
      <c r="P43" s="3">
        <v>0.94459999999999988</v>
      </c>
      <c r="Q43" s="3">
        <v>0.92779999999999996</v>
      </c>
      <c r="R43" s="3">
        <v>0.96129999999999993</v>
      </c>
    </row>
    <row r="44" spans="1:18" x14ac:dyDescent="0.3">
      <c r="A44" s="2">
        <v>43</v>
      </c>
      <c r="B44" s="2" t="s">
        <v>32</v>
      </c>
      <c r="C44" s="2" t="s">
        <v>58</v>
      </c>
      <c r="D44" s="2" t="s">
        <v>15</v>
      </c>
      <c r="E44" s="2" t="s">
        <v>16</v>
      </c>
      <c r="F44" s="2">
        <v>2</v>
      </c>
      <c r="G44" s="2">
        <v>72</v>
      </c>
      <c r="H44" s="2">
        <v>8.9</v>
      </c>
      <c r="I44" s="2">
        <v>6</v>
      </c>
      <c r="J44" s="2">
        <v>12</v>
      </c>
      <c r="K44" s="2">
        <v>99.47</v>
      </c>
      <c r="L44" s="2">
        <v>88.83</v>
      </c>
      <c r="M44" s="2">
        <v>110.12</v>
      </c>
      <c r="N44" s="2">
        <v>46.084602157535507</v>
      </c>
      <c r="O44" s="2">
        <v>100</v>
      </c>
      <c r="P44" s="3">
        <v>0.99470000000000003</v>
      </c>
      <c r="Q44" s="3">
        <v>0.88829999999999998</v>
      </c>
      <c r="R44" s="3">
        <v>1.1012</v>
      </c>
    </row>
    <row r="45" spans="1:18" x14ac:dyDescent="0.3">
      <c r="A45" s="2">
        <v>44</v>
      </c>
      <c r="B45" s="2" t="s">
        <v>32</v>
      </c>
      <c r="C45" s="2" t="s">
        <v>58</v>
      </c>
      <c r="D45" s="2" t="s">
        <v>15</v>
      </c>
      <c r="E45" s="2" t="s">
        <v>17</v>
      </c>
      <c r="F45" s="2">
        <v>4</v>
      </c>
      <c r="G45" s="2">
        <v>137</v>
      </c>
      <c r="H45" s="2">
        <v>19.8</v>
      </c>
      <c r="I45" s="2">
        <v>7.3</v>
      </c>
      <c r="J45" s="2">
        <v>35.6</v>
      </c>
      <c r="K45" s="2">
        <v>97.75</v>
      </c>
      <c r="L45" s="2">
        <v>93.31</v>
      </c>
      <c r="M45" s="2">
        <v>102.2</v>
      </c>
      <c r="N45" s="2">
        <v>26.54458729752487</v>
      </c>
      <c r="O45" s="2">
        <v>100</v>
      </c>
      <c r="P45" s="3">
        <v>0.97750000000000004</v>
      </c>
      <c r="Q45" s="3">
        <v>0.93310000000000004</v>
      </c>
      <c r="R45" s="3">
        <v>1.022</v>
      </c>
    </row>
    <row r="46" spans="1:18" x14ac:dyDescent="0.3">
      <c r="A46" s="2">
        <v>45</v>
      </c>
      <c r="B46" s="2" t="s">
        <v>32</v>
      </c>
      <c r="C46" s="2" t="s">
        <v>58</v>
      </c>
      <c r="D46" s="2" t="s">
        <v>15</v>
      </c>
      <c r="E46" s="2" t="s">
        <v>18</v>
      </c>
      <c r="F46" s="2">
        <f>SUM(F44:F45)</f>
        <v>6</v>
      </c>
      <c r="G46" s="2">
        <f>SUM(G44:G45)</f>
        <v>209</v>
      </c>
      <c r="K46" s="2">
        <v>98.18</v>
      </c>
      <c r="L46" s="2">
        <v>96.01</v>
      </c>
      <c r="M46" s="2">
        <v>100.35</v>
      </c>
      <c r="N46" s="2">
        <v>16.005778612101022</v>
      </c>
      <c r="O46" s="2">
        <v>100</v>
      </c>
      <c r="P46" s="3">
        <v>0.98180000000000012</v>
      </c>
      <c r="Q46" s="3">
        <v>0.96010000000000006</v>
      </c>
      <c r="R46" s="3">
        <v>1.0034999999999998</v>
      </c>
    </row>
    <row r="47" spans="1:18" x14ac:dyDescent="0.3">
      <c r="A47" s="2">
        <v>46</v>
      </c>
      <c r="B47" s="2" t="s">
        <v>33</v>
      </c>
      <c r="C47" s="2" t="s">
        <v>61</v>
      </c>
      <c r="D47" s="2" t="s">
        <v>15</v>
      </c>
      <c r="E47" s="2" t="s">
        <v>16</v>
      </c>
      <c r="F47" s="2">
        <v>6</v>
      </c>
      <c r="G47" s="2">
        <v>387</v>
      </c>
      <c r="H47" s="2">
        <v>41.1</v>
      </c>
      <c r="I47" s="2">
        <v>6</v>
      </c>
      <c r="J47" s="2">
        <v>66</v>
      </c>
      <c r="K47" s="2">
        <v>91.68</v>
      </c>
      <c r="L47" s="2">
        <v>86.23</v>
      </c>
      <c r="M47" s="2">
        <v>97.12</v>
      </c>
      <c r="N47" s="2">
        <v>54.650897089016929</v>
      </c>
      <c r="O47" s="2">
        <v>100</v>
      </c>
      <c r="P47" s="3">
        <v>0.91680000000000006</v>
      </c>
      <c r="Q47" s="3">
        <v>0.86230000000000007</v>
      </c>
      <c r="R47" s="3">
        <v>0.97120000000000006</v>
      </c>
    </row>
    <row r="48" spans="1:18" x14ac:dyDescent="0.3">
      <c r="A48" s="2">
        <v>47</v>
      </c>
      <c r="B48" s="2" t="s">
        <v>33</v>
      </c>
      <c r="C48" s="2" t="s">
        <v>61</v>
      </c>
      <c r="D48" s="2" t="s">
        <v>15</v>
      </c>
      <c r="E48" s="2" t="s">
        <v>17</v>
      </c>
      <c r="F48" s="2">
        <v>7</v>
      </c>
      <c r="G48" s="2">
        <v>318</v>
      </c>
      <c r="H48" s="2">
        <v>23.8</v>
      </c>
      <c r="I48" s="2">
        <v>12</v>
      </c>
      <c r="J48" s="2">
        <v>78.900000000000006</v>
      </c>
      <c r="K48" s="2">
        <v>93.23</v>
      </c>
      <c r="L48" s="2">
        <v>90.99</v>
      </c>
      <c r="M48" s="2">
        <v>95.48</v>
      </c>
      <c r="N48" s="2">
        <v>20.425553496318983</v>
      </c>
      <c r="O48" s="2">
        <v>100</v>
      </c>
      <c r="P48" s="3">
        <v>0.93230000000000002</v>
      </c>
      <c r="Q48" s="3">
        <v>0.90989999999999993</v>
      </c>
      <c r="R48" s="3">
        <v>0.95480000000000009</v>
      </c>
    </row>
    <row r="49" spans="1:18" x14ac:dyDescent="0.3">
      <c r="A49" s="2">
        <v>48</v>
      </c>
      <c r="B49" s="2" t="s">
        <v>33</v>
      </c>
      <c r="C49" s="2" t="s">
        <v>61</v>
      </c>
      <c r="D49" s="2" t="s">
        <v>15</v>
      </c>
      <c r="E49" s="2" t="s">
        <v>18</v>
      </c>
      <c r="F49" s="2">
        <f>SUM(F47:F48)</f>
        <v>13</v>
      </c>
      <c r="G49" s="2">
        <f>SUM(G47:G48)</f>
        <v>705</v>
      </c>
      <c r="K49" s="2">
        <v>92.59</v>
      </c>
      <c r="L49" s="2">
        <v>90.57</v>
      </c>
      <c r="M49" s="2">
        <v>94.61</v>
      </c>
      <c r="N49" s="2">
        <v>27.364647403725087</v>
      </c>
      <c r="O49" s="2">
        <v>100</v>
      </c>
      <c r="P49" s="3">
        <v>0.92590000000000006</v>
      </c>
      <c r="Q49" s="3">
        <v>0.90569999999999995</v>
      </c>
      <c r="R49" s="3">
        <v>0.94609999999999994</v>
      </c>
    </row>
    <row r="50" spans="1:18" x14ac:dyDescent="0.3">
      <c r="A50" s="2">
        <v>49</v>
      </c>
      <c r="B50" s="2" t="s">
        <v>34</v>
      </c>
      <c r="C50" s="2" t="s">
        <v>62</v>
      </c>
      <c r="D50" s="2" t="s">
        <v>15</v>
      </c>
      <c r="E50" s="2" t="s">
        <v>16</v>
      </c>
      <c r="F50" s="2">
        <v>13</v>
      </c>
      <c r="G50" s="2">
        <v>1201</v>
      </c>
      <c r="H50" s="2">
        <v>23.9</v>
      </c>
      <c r="I50" s="2">
        <v>6</v>
      </c>
      <c r="J50" s="2">
        <v>66</v>
      </c>
      <c r="K50" s="2">
        <v>1.1499999999999999</v>
      </c>
      <c r="L50" s="2">
        <v>0.83</v>
      </c>
      <c r="M50" s="2">
        <v>1.46</v>
      </c>
      <c r="N50" s="2">
        <v>5.5696253950168257</v>
      </c>
      <c r="O50" s="2">
        <v>4</v>
      </c>
      <c r="P50" s="3">
        <v>0.28749999999999998</v>
      </c>
      <c r="Q50" s="3">
        <v>0.20749999999999999</v>
      </c>
      <c r="R50" s="3">
        <v>0.36499999999999999</v>
      </c>
    </row>
    <row r="51" spans="1:18" x14ac:dyDescent="0.3">
      <c r="A51" s="2">
        <v>50</v>
      </c>
      <c r="B51" s="2" t="s">
        <v>34</v>
      </c>
      <c r="C51" s="2" t="s">
        <v>62</v>
      </c>
      <c r="D51" s="2" t="s">
        <v>15</v>
      </c>
      <c r="E51" s="2" t="s">
        <v>17</v>
      </c>
      <c r="F51" s="2">
        <v>35</v>
      </c>
      <c r="G51" s="2">
        <v>4137</v>
      </c>
      <c r="H51" s="2">
        <v>29.4</v>
      </c>
      <c r="I51" s="2">
        <v>12</v>
      </c>
      <c r="J51" s="2">
        <v>123.6</v>
      </c>
      <c r="K51" s="2">
        <v>1.55</v>
      </c>
      <c r="L51" s="2">
        <v>1.33</v>
      </c>
      <c r="M51" s="2">
        <v>1.78</v>
      </c>
      <c r="N51" s="2">
        <v>7.38361778459051</v>
      </c>
      <c r="O51" s="2">
        <v>4</v>
      </c>
      <c r="P51" s="3">
        <v>0.38750000000000001</v>
      </c>
      <c r="Q51" s="3">
        <v>0.33250000000000002</v>
      </c>
      <c r="R51" s="3">
        <v>0.44500000000000001</v>
      </c>
    </row>
    <row r="52" spans="1:18" x14ac:dyDescent="0.3">
      <c r="A52" s="2">
        <v>51</v>
      </c>
      <c r="B52" s="2" t="s">
        <v>34</v>
      </c>
      <c r="C52" s="2" t="s">
        <v>62</v>
      </c>
      <c r="D52" s="2" t="s">
        <v>15</v>
      </c>
      <c r="E52" s="2" t="s">
        <v>18</v>
      </c>
      <c r="F52" s="2">
        <f>SUM(F50:F51)</f>
        <v>48</v>
      </c>
      <c r="G52" s="2">
        <f>SUM(G50:G51)</f>
        <v>5338</v>
      </c>
      <c r="K52" s="2">
        <v>1.45</v>
      </c>
      <c r="L52" s="2">
        <v>1.26</v>
      </c>
      <c r="M52" s="2">
        <v>1.63</v>
      </c>
      <c r="N52" s="2">
        <v>6.8961220911376477</v>
      </c>
      <c r="O52" s="2">
        <v>4</v>
      </c>
      <c r="P52" s="3">
        <v>0.36249999999999999</v>
      </c>
      <c r="Q52" s="3">
        <v>0.315</v>
      </c>
      <c r="R52" s="3">
        <v>0.40749999999999997</v>
      </c>
    </row>
    <row r="53" spans="1:18" x14ac:dyDescent="0.3">
      <c r="A53" s="2">
        <v>52</v>
      </c>
      <c r="B53" s="2" t="s">
        <v>35</v>
      </c>
      <c r="C53" s="2" t="s">
        <v>63</v>
      </c>
      <c r="D53" s="2" t="s">
        <v>36</v>
      </c>
      <c r="E53" s="2" t="s">
        <v>16</v>
      </c>
      <c r="F53" s="2">
        <v>4</v>
      </c>
      <c r="G53" s="2">
        <v>170</v>
      </c>
      <c r="H53" s="2">
        <v>25.8</v>
      </c>
      <c r="I53" s="2">
        <v>12</v>
      </c>
      <c r="J53" s="2">
        <v>40.5</v>
      </c>
      <c r="K53" s="2">
        <v>9.69</v>
      </c>
      <c r="L53" s="2">
        <v>1.21</v>
      </c>
      <c r="M53" s="2">
        <v>48.31</v>
      </c>
      <c r="N53" s="2">
        <v>156.66042514543102</v>
      </c>
      <c r="O53" s="2">
        <v>100</v>
      </c>
      <c r="P53" s="3">
        <v>9.69E-2</v>
      </c>
      <c r="Q53" s="3">
        <v>1.21E-2</v>
      </c>
      <c r="R53" s="3">
        <v>0.48310000000000003</v>
      </c>
    </row>
    <row r="54" spans="1:18" x14ac:dyDescent="0.3">
      <c r="A54" s="2">
        <v>53</v>
      </c>
      <c r="B54" s="2" t="s">
        <v>35</v>
      </c>
      <c r="C54" s="2" t="s">
        <v>63</v>
      </c>
      <c r="D54" s="2" t="s">
        <v>36</v>
      </c>
      <c r="E54" s="2" t="s">
        <v>17</v>
      </c>
      <c r="F54" s="2">
        <v>19</v>
      </c>
      <c r="G54" s="2">
        <v>1860</v>
      </c>
      <c r="H54" s="2">
        <v>39.9</v>
      </c>
      <c r="I54" s="2">
        <v>12</v>
      </c>
      <c r="J54" s="2">
        <v>90</v>
      </c>
      <c r="K54" s="2">
        <v>9.2799999999999994</v>
      </c>
      <c r="L54" s="2">
        <v>6.63</v>
      </c>
      <c r="M54" s="2">
        <v>12.83</v>
      </c>
      <c r="N54" s="2">
        <v>68.212205942681891</v>
      </c>
      <c r="O54" s="2">
        <v>100</v>
      </c>
      <c r="P54" s="3">
        <v>9.2799999999999994E-2</v>
      </c>
      <c r="Q54" s="3">
        <v>6.6299999999999998E-2</v>
      </c>
      <c r="R54" s="3">
        <v>0.1283</v>
      </c>
    </row>
    <row r="55" spans="1:18" x14ac:dyDescent="0.3">
      <c r="A55" s="2">
        <v>54</v>
      </c>
      <c r="B55" s="2" t="s">
        <v>35</v>
      </c>
      <c r="C55" s="2" t="s">
        <v>63</v>
      </c>
      <c r="D55" s="2" t="s">
        <v>36</v>
      </c>
      <c r="E55" s="2" t="s">
        <v>18</v>
      </c>
      <c r="F55" s="2">
        <f>SUM(F53:F54)</f>
        <v>23</v>
      </c>
      <c r="G55" s="2">
        <f>SUM(G53:G54)</f>
        <v>2030</v>
      </c>
      <c r="K55" s="2">
        <v>9.3000000000000007</v>
      </c>
      <c r="L55" s="2">
        <v>6.6</v>
      </c>
      <c r="M55" s="2">
        <v>12.8</v>
      </c>
      <c r="N55" s="2">
        <v>71.261283695537387</v>
      </c>
      <c r="O55" s="2">
        <v>100</v>
      </c>
      <c r="P55" s="3">
        <v>9.3000000000000013E-2</v>
      </c>
      <c r="Q55" s="3">
        <v>6.6000000000000003E-2</v>
      </c>
      <c r="R55" s="3">
        <v>0.128</v>
      </c>
    </row>
    <row r="56" spans="1:18" x14ac:dyDescent="0.3">
      <c r="A56" s="2">
        <v>55</v>
      </c>
      <c r="B56" s="2" t="s">
        <v>37</v>
      </c>
      <c r="C56" s="2" t="s">
        <v>64</v>
      </c>
      <c r="D56" s="2" t="s">
        <v>36</v>
      </c>
      <c r="E56" s="2" t="s">
        <v>16</v>
      </c>
      <c r="F56" s="2">
        <v>6</v>
      </c>
      <c r="G56" s="2">
        <v>807</v>
      </c>
      <c r="H56" s="2">
        <v>24.5</v>
      </c>
      <c r="I56" s="2">
        <v>6</v>
      </c>
      <c r="J56" s="2">
        <v>66</v>
      </c>
      <c r="K56" s="2">
        <v>13.01</v>
      </c>
      <c r="L56" s="2">
        <v>2.83</v>
      </c>
      <c r="M56" s="2">
        <v>43.46</v>
      </c>
      <c r="N56" s="2">
        <v>294.44048380704947</v>
      </c>
      <c r="O56" s="2">
        <v>100</v>
      </c>
      <c r="P56" s="3">
        <v>0.13009999999999999</v>
      </c>
      <c r="Q56" s="3">
        <v>2.8300000000000002E-2</v>
      </c>
      <c r="R56" s="3">
        <v>0.43459999999999999</v>
      </c>
    </row>
    <row r="57" spans="1:18" x14ac:dyDescent="0.3">
      <c r="A57" s="2">
        <v>56</v>
      </c>
      <c r="B57" s="2" t="s">
        <v>37</v>
      </c>
      <c r="C57" s="2" t="s">
        <v>64</v>
      </c>
      <c r="D57" s="2" t="s">
        <v>36</v>
      </c>
      <c r="E57" s="2" t="s">
        <v>17</v>
      </c>
      <c r="F57" s="2">
        <v>28</v>
      </c>
      <c r="G57" s="2">
        <v>2148</v>
      </c>
      <c r="H57" s="2">
        <v>44</v>
      </c>
      <c r="I57" s="2">
        <v>12</v>
      </c>
      <c r="J57" s="2">
        <v>122.4</v>
      </c>
      <c r="K57" s="2">
        <v>19.48</v>
      </c>
      <c r="L57" s="2">
        <v>15.23</v>
      </c>
      <c r="M57" s="2">
        <v>24.58</v>
      </c>
      <c r="N57" s="2">
        <v>110.54591083214076</v>
      </c>
      <c r="O57" s="2">
        <v>100</v>
      </c>
      <c r="P57" s="3">
        <v>0.1948</v>
      </c>
      <c r="Q57" s="3">
        <v>0.15229999999999999</v>
      </c>
      <c r="R57" s="3">
        <v>0.24579999999999999</v>
      </c>
    </row>
    <row r="58" spans="1:18" x14ac:dyDescent="0.3">
      <c r="A58" s="2">
        <v>57</v>
      </c>
      <c r="B58" s="2" t="s">
        <v>37</v>
      </c>
      <c r="C58" s="2" t="s">
        <v>64</v>
      </c>
      <c r="D58" s="2" t="s">
        <v>36</v>
      </c>
      <c r="E58" s="2" t="s">
        <v>18</v>
      </c>
      <c r="F58" s="2">
        <f>SUM(F56:F57)</f>
        <v>34</v>
      </c>
      <c r="G58" s="2">
        <f>SUM(G56:G57)</f>
        <v>2955</v>
      </c>
      <c r="K58" s="2">
        <v>17.899999999999999</v>
      </c>
      <c r="L58" s="2">
        <v>13.8</v>
      </c>
      <c r="M58" s="2">
        <v>22.8</v>
      </c>
      <c r="N58" s="2">
        <v>124.80591971871628</v>
      </c>
      <c r="O58" s="2">
        <v>100</v>
      </c>
      <c r="P58" s="3">
        <v>0.17899999999999999</v>
      </c>
      <c r="Q58" s="3">
        <v>0.13800000000000001</v>
      </c>
      <c r="R58" s="3">
        <v>0.22800000000000001</v>
      </c>
    </row>
    <row r="59" spans="1:18" x14ac:dyDescent="0.3">
      <c r="A59" s="2">
        <v>58</v>
      </c>
      <c r="B59" s="2" t="s">
        <v>38</v>
      </c>
      <c r="C59" s="2" t="s">
        <v>65</v>
      </c>
      <c r="D59" s="2" t="s">
        <v>36</v>
      </c>
      <c r="E59" s="2" t="s">
        <v>16</v>
      </c>
      <c r="F59" s="2">
        <v>6</v>
      </c>
      <c r="G59" s="2">
        <v>807</v>
      </c>
      <c r="H59" s="2">
        <v>24.5</v>
      </c>
      <c r="I59" s="2">
        <v>6</v>
      </c>
      <c r="J59" s="2">
        <v>66</v>
      </c>
      <c r="K59" s="2">
        <v>0.49</v>
      </c>
      <c r="L59" s="2">
        <v>0</v>
      </c>
      <c r="M59" s="2">
        <v>54.23</v>
      </c>
      <c r="N59" s="2">
        <v>392.99796792656389</v>
      </c>
      <c r="O59" s="2">
        <v>100</v>
      </c>
      <c r="P59" s="3">
        <v>4.8999999999999998E-3</v>
      </c>
      <c r="Q59" s="3">
        <v>0</v>
      </c>
      <c r="R59" s="3">
        <v>0.5423</v>
      </c>
    </row>
    <row r="60" spans="1:18" x14ac:dyDescent="0.3">
      <c r="A60" s="2">
        <v>59</v>
      </c>
      <c r="B60" s="2" t="s">
        <v>38</v>
      </c>
      <c r="C60" s="2" t="s">
        <v>65</v>
      </c>
      <c r="D60" s="2" t="s">
        <v>36</v>
      </c>
      <c r="E60" s="2" t="s">
        <v>17</v>
      </c>
      <c r="F60" s="2">
        <v>28</v>
      </c>
      <c r="G60" s="2">
        <v>2148</v>
      </c>
      <c r="H60" s="2">
        <v>44</v>
      </c>
      <c r="I60" s="2">
        <v>12</v>
      </c>
      <c r="J60" s="2">
        <v>122.4</v>
      </c>
      <c r="K60" s="2">
        <v>1.91</v>
      </c>
      <c r="L60" s="2">
        <v>1.08</v>
      </c>
      <c r="M60" s="2">
        <v>3.36</v>
      </c>
      <c r="N60" s="2">
        <v>26.9566499141477</v>
      </c>
      <c r="O60" s="2">
        <v>100</v>
      </c>
      <c r="P60" s="3">
        <v>1.9099999999999999E-2</v>
      </c>
      <c r="Q60" s="3">
        <v>1.0800000000000001E-2</v>
      </c>
      <c r="R60" s="3">
        <v>3.3599999999999998E-2</v>
      </c>
    </row>
    <row r="61" spans="1:18" x14ac:dyDescent="0.3">
      <c r="A61" s="2">
        <v>60</v>
      </c>
      <c r="B61" s="2" t="s">
        <v>38</v>
      </c>
      <c r="C61" s="2" t="s">
        <v>65</v>
      </c>
      <c r="D61" s="2" t="s">
        <v>36</v>
      </c>
      <c r="E61" s="2" t="s">
        <v>18</v>
      </c>
      <c r="F61" s="2">
        <f>SUM(F59:F60)</f>
        <v>34</v>
      </c>
      <c r="G61" s="2">
        <f>SUM(G59:G60)</f>
        <v>2955</v>
      </c>
      <c r="K61" s="2">
        <v>1.5</v>
      </c>
      <c r="L61" s="2">
        <v>0.8</v>
      </c>
      <c r="M61" s="2">
        <v>2.9</v>
      </c>
      <c r="N61" s="2">
        <v>29.121381267700457</v>
      </c>
      <c r="O61" s="2">
        <v>100</v>
      </c>
      <c r="P61" s="3">
        <v>1.4999999999999999E-2</v>
      </c>
      <c r="Q61" s="3">
        <v>8.0000000000000002E-3</v>
      </c>
      <c r="R61" s="3">
        <v>2.8999999999999998E-2</v>
      </c>
    </row>
    <row r="62" spans="1:18" x14ac:dyDescent="0.3">
      <c r="A62" s="2">
        <v>61</v>
      </c>
      <c r="B62" s="2" t="s">
        <v>39</v>
      </c>
      <c r="C62" s="2" t="s">
        <v>66</v>
      </c>
      <c r="D62" s="2" t="s">
        <v>36</v>
      </c>
      <c r="E62" s="2" t="s">
        <v>16</v>
      </c>
      <c r="F62" s="2">
        <v>7</v>
      </c>
      <c r="G62" s="2">
        <v>580</v>
      </c>
      <c r="H62" s="2">
        <v>22.7</v>
      </c>
      <c r="I62" s="2">
        <v>6</v>
      </c>
      <c r="J62" s="2">
        <v>40.5</v>
      </c>
      <c r="K62" s="2">
        <v>0.32</v>
      </c>
      <c r="L62" s="2">
        <v>0</v>
      </c>
      <c r="M62" s="2">
        <v>41.27</v>
      </c>
      <c r="N62" s="2">
        <v>253.54928993201943</v>
      </c>
      <c r="O62" s="2">
        <v>100</v>
      </c>
      <c r="P62" s="3">
        <v>3.2000000000000002E-3</v>
      </c>
      <c r="Q62" s="3">
        <v>0</v>
      </c>
      <c r="R62" s="3">
        <v>0.41270000000000001</v>
      </c>
    </row>
    <row r="63" spans="1:18" x14ac:dyDescent="0.3">
      <c r="A63" s="2">
        <v>62</v>
      </c>
      <c r="B63" s="2" t="s">
        <v>39</v>
      </c>
      <c r="C63" s="2" t="s">
        <v>66</v>
      </c>
      <c r="D63" s="2" t="s">
        <v>36</v>
      </c>
      <c r="E63" s="2" t="s">
        <v>17</v>
      </c>
      <c r="F63" s="2">
        <v>31</v>
      </c>
      <c r="G63" s="2">
        <v>3512</v>
      </c>
      <c r="H63" s="2">
        <v>27.9</v>
      </c>
      <c r="I63" s="2">
        <v>12</v>
      </c>
      <c r="J63" s="2">
        <v>122.4</v>
      </c>
      <c r="K63" s="2">
        <v>14.74</v>
      </c>
      <c r="L63" s="2">
        <v>10.16</v>
      </c>
      <c r="M63" s="2">
        <v>20.91</v>
      </c>
      <c r="N63" s="2">
        <v>162.51731958450236</v>
      </c>
      <c r="O63" s="2">
        <v>100</v>
      </c>
      <c r="P63" s="3">
        <v>0.1474</v>
      </c>
      <c r="Q63" s="3">
        <v>0.1016</v>
      </c>
      <c r="R63" s="3">
        <v>0.20910000000000001</v>
      </c>
    </row>
    <row r="64" spans="1:18" x14ac:dyDescent="0.3">
      <c r="A64" s="2">
        <v>63</v>
      </c>
      <c r="B64" s="2" t="s">
        <v>39</v>
      </c>
      <c r="C64" s="2" t="s">
        <v>66</v>
      </c>
      <c r="D64" s="2" t="s">
        <v>36</v>
      </c>
      <c r="E64" s="2" t="s">
        <v>18</v>
      </c>
      <c r="F64" s="2">
        <f>SUM(F62:F63)</f>
        <v>38</v>
      </c>
      <c r="G64" s="2">
        <f>SUM(G62:G63)</f>
        <v>4092</v>
      </c>
      <c r="K64" s="2">
        <v>10.5</v>
      </c>
      <c r="L64" s="2">
        <v>6.6</v>
      </c>
      <c r="M64" s="2">
        <v>16.2</v>
      </c>
      <c r="N64" s="2">
        <v>156.65814457194588</v>
      </c>
      <c r="O64" s="2">
        <v>100</v>
      </c>
      <c r="P64" s="3">
        <v>0.105</v>
      </c>
      <c r="Q64" s="3">
        <v>6.6000000000000003E-2</v>
      </c>
      <c r="R64" s="3">
        <v>0.16200000000000001</v>
      </c>
    </row>
    <row r="65" spans="1:18" x14ac:dyDescent="0.3">
      <c r="A65" s="2">
        <v>64</v>
      </c>
      <c r="B65" s="2" t="s">
        <v>40</v>
      </c>
      <c r="C65" s="2" t="s">
        <v>67</v>
      </c>
      <c r="D65" s="2" t="s">
        <v>36</v>
      </c>
      <c r="E65" s="2" t="s">
        <v>16</v>
      </c>
      <c r="F65" s="2">
        <v>7</v>
      </c>
      <c r="G65" s="2">
        <v>580</v>
      </c>
      <c r="H65" s="2">
        <v>22.7</v>
      </c>
      <c r="I65" s="2">
        <v>6</v>
      </c>
      <c r="J65" s="2">
        <v>40.5</v>
      </c>
      <c r="K65" s="2">
        <v>0.27</v>
      </c>
      <c r="L65" s="2">
        <v>0.02</v>
      </c>
      <c r="M65" s="2">
        <v>3.06</v>
      </c>
      <c r="N65" s="2">
        <v>18.676758938534988</v>
      </c>
      <c r="O65" s="2">
        <v>100</v>
      </c>
      <c r="P65" s="3">
        <v>2.7000000000000001E-3</v>
      </c>
      <c r="Q65" s="3">
        <v>2.0000000000000001E-4</v>
      </c>
      <c r="R65" s="3">
        <v>3.0600000000000002E-2</v>
      </c>
    </row>
    <row r="66" spans="1:18" x14ac:dyDescent="0.3">
      <c r="A66" s="2">
        <v>65</v>
      </c>
      <c r="B66" s="2" t="s">
        <v>40</v>
      </c>
      <c r="C66" s="2" t="s">
        <v>67</v>
      </c>
      <c r="D66" s="2" t="s">
        <v>36</v>
      </c>
      <c r="E66" s="2" t="s">
        <v>17</v>
      </c>
      <c r="F66" s="2">
        <v>31</v>
      </c>
      <c r="G66" s="2">
        <v>3512</v>
      </c>
      <c r="H66" s="2">
        <v>27.9</v>
      </c>
      <c r="I66" s="2">
        <v>12</v>
      </c>
      <c r="J66" s="2">
        <v>122.4</v>
      </c>
      <c r="K66" s="2">
        <v>1.35</v>
      </c>
      <c r="L66" s="2">
        <v>0.57999999999999996</v>
      </c>
      <c r="M66" s="2">
        <v>3.1</v>
      </c>
      <c r="N66" s="2">
        <v>38.097083288646139</v>
      </c>
      <c r="O66" s="2">
        <v>100</v>
      </c>
      <c r="P66" s="3">
        <v>1.3500000000000002E-2</v>
      </c>
      <c r="Q66" s="3">
        <v>5.7999999999999996E-3</v>
      </c>
      <c r="R66" s="3">
        <v>3.1E-2</v>
      </c>
    </row>
    <row r="67" spans="1:18" x14ac:dyDescent="0.3">
      <c r="A67" s="2">
        <v>66</v>
      </c>
      <c r="B67" s="2" t="s">
        <v>40</v>
      </c>
      <c r="C67" s="2" t="s">
        <v>67</v>
      </c>
      <c r="D67" s="2" t="s">
        <v>36</v>
      </c>
      <c r="E67" s="2" t="s">
        <v>18</v>
      </c>
      <c r="F67" s="2">
        <f>SUM(F65:F66)</f>
        <v>38</v>
      </c>
      <c r="G67" s="2">
        <f>SUM(G65:G66)</f>
        <v>4092</v>
      </c>
      <c r="K67" s="2">
        <v>0.9</v>
      </c>
      <c r="L67" s="2">
        <v>0.4</v>
      </c>
      <c r="M67" s="2">
        <v>2.2000000000000002</v>
      </c>
      <c r="N67" s="2">
        <v>29.373402107239858</v>
      </c>
      <c r="O67" s="2">
        <v>100</v>
      </c>
      <c r="P67" s="3">
        <v>9.0000000000000011E-3</v>
      </c>
      <c r="Q67" s="3">
        <v>4.0000000000000001E-3</v>
      </c>
      <c r="R67" s="3">
        <v>2.2000000000000002E-2</v>
      </c>
    </row>
    <row r="68" spans="1:18" x14ac:dyDescent="0.3">
      <c r="A68" s="2">
        <v>67</v>
      </c>
      <c r="B68" s="2" t="s">
        <v>41</v>
      </c>
      <c r="C68" s="2" t="s">
        <v>68</v>
      </c>
      <c r="D68" s="2" t="s">
        <v>15</v>
      </c>
      <c r="E68" s="2" t="s">
        <v>16</v>
      </c>
      <c r="F68" s="2">
        <v>5</v>
      </c>
      <c r="G68" s="2">
        <v>267</v>
      </c>
      <c r="H68" s="2">
        <v>16.3</v>
      </c>
      <c r="I68" s="2">
        <v>6</v>
      </c>
      <c r="J68" s="2">
        <v>68.599999999999994</v>
      </c>
      <c r="K68" s="2">
        <v>1.4</v>
      </c>
      <c r="L68" s="2">
        <v>-0.04</v>
      </c>
      <c r="M68" s="2">
        <v>2.83</v>
      </c>
      <c r="N68" s="2">
        <v>11.963312860233856</v>
      </c>
      <c r="O68" s="2">
        <v>4.5</v>
      </c>
      <c r="P68" s="3">
        <v>0.31111111111111112</v>
      </c>
      <c r="Q68" s="3">
        <v>-8.8888888888888889E-3</v>
      </c>
      <c r="R68" s="3">
        <v>0.62888888888888894</v>
      </c>
    </row>
    <row r="69" spans="1:18" x14ac:dyDescent="0.3">
      <c r="A69" s="2">
        <v>68</v>
      </c>
      <c r="B69" s="2" t="s">
        <v>41</v>
      </c>
      <c r="C69" s="2" t="s">
        <v>68</v>
      </c>
      <c r="D69" s="2" t="s">
        <v>15</v>
      </c>
      <c r="E69" s="2" t="s">
        <v>17</v>
      </c>
      <c r="F69" s="2">
        <v>7</v>
      </c>
      <c r="G69" s="2">
        <v>424</v>
      </c>
      <c r="H69" s="2">
        <v>28.9</v>
      </c>
      <c r="I69" s="2">
        <v>12</v>
      </c>
      <c r="J69" s="2">
        <v>78.900000000000006</v>
      </c>
      <c r="K69" s="2">
        <v>0.93</v>
      </c>
      <c r="L69" s="2">
        <v>0.45</v>
      </c>
      <c r="M69" s="2">
        <v>1.41</v>
      </c>
      <c r="N69" s="2">
        <v>5.0427576200752657</v>
      </c>
      <c r="O69" s="2">
        <v>4.5</v>
      </c>
      <c r="P69" s="3">
        <v>0.20666666666666667</v>
      </c>
      <c r="Q69" s="3">
        <v>0.1</v>
      </c>
      <c r="R69" s="3">
        <v>0.3133333333333333</v>
      </c>
    </row>
    <row r="70" spans="1:18" x14ac:dyDescent="0.3">
      <c r="A70" s="2">
        <v>69</v>
      </c>
      <c r="B70" s="2" t="s">
        <v>41</v>
      </c>
      <c r="C70" s="2" t="s">
        <v>68</v>
      </c>
      <c r="D70" s="2" t="s">
        <v>15</v>
      </c>
      <c r="E70" s="2" t="s">
        <v>18</v>
      </c>
      <c r="F70" s="2">
        <f>SUM(F68:F69)</f>
        <v>12</v>
      </c>
      <c r="G70" s="2">
        <f>SUM(G68:G69)</f>
        <v>691</v>
      </c>
      <c r="K70" s="2">
        <v>1.1000000000000001</v>
      </c>
      <c r="L70" s="2">
        <v>0.67</v>
      </c>
      <c r="M70" s="2">
        <v>1.53</v>
      </c>
      <c r="N70" s="2">
        <v>5.7670193408987886</v>
      </c>
      <c r="O70" s="2">
        <v>4.5</v>
      </c>
      <c r="P70" s="3">
        <v>0.24444444444444446</v>
      </c>
      <c r="Q70" s="3">
        <v>0.1488888888888889</v>
      </c>
      <c r="R70" s="3">
        <v>0.34</v>
      </c>
    </row>
    <row r="71" spans="1:18" x14ac:dyDescent="0.3">
      <c r="A71" s="2">
        <v>70</v>
      </c>
      <c r="B71" s="2" t="s">
        <v>42</v>
      </c>
      <c r="C71" s="2" t="s">
        <v>69</v>
      </c>
      <c r="D71" s="2" t="s">
        <v>36</v>
      </c>
      <c r="E71" s="2" t="s">
        <v>16</v>
      </c>
      <c r="F71" s="2">
        <v>19</v>
      </c>
      <c r="G71" s="2">
        <v>1622</v>
      </c>
      <c r="H71" s="2">
        <v>26.6</v>
      </c>
      <c r="I71" s="2">
        <v>6</v>
      </c>
      <c r="J71" s="2">
        <v>69.900000000000006</v>
      </c>
      <c r="K71" s="2">
        <v>1.89</v>
      </c>
      <c r="L71" s="2">
        <v>0.98</v>
      </c>
      <c r="M71" s="2">
        <v>3.59</v>
      </c>
      <c r="N71" s="2">
        <v>26.815127436847913</v>
      </c>
      <c r="O71" s="2">
        <v>100</v>
      </c>
      <c r="P71" s="3">
        <v>1.89E-2</v>
      </c>
      <c r="Q71" s="3">
        <v>9.7999999999999997E-3</v>
      </c>
      <c r="R71" s="3">
        <v>3.5900000000000001E-2</v>
      </c>
    </row>
    <row r="72" spans="1:18" x14ac:dyDescent="0.3">
      <c r="A72" s="2">
        <v>71</v>
      </c>
      <c r="B72" s="2" t="s">
        <v>42</v>
      </c>
      <c r="C72" s="2" t="s">
        <v>69</v>
      </c>
      <c r="D72" s="2" t="s">
        <v>36</v>
      </c>
      <c r="E72" s="2" t="s">
        <v>17</v>
      </c>
      <c r="F72" s="2">
        <v>37</v>
      </c>
      <c r="G72" s="2">
        <v>3556</v>
      </c>
      <c r="H72" s="2">
        <v>36.799999999999997</v>
      </c>
      <c r="I72" s="2">
        <v>12</v>
      </c>
      <c r="J72" s="2">
        <v>123.6</v>
      </c>
      <c r="K72" s="2">
        <v>2.4900000000000002</v>
      </c>
      <c r="L72" s="2">
        <v>1.62</v>
      </c>
      <c r="M72" s="2">
        <v>3.8</v>
      </c>
      <c r="N72" s="2">
        <v>33.162808474090554</v>
      </c>
      <c r="O72" s="2">
        <v>100</v>
      </c>
      <c r="P72" s="3">
        <v>2.4900000000000002E-2</v>
      </c>
      <c r="Q72" s="3">
        <v>1.6200000000000003E-2</v>
      </c>
      <c r="R72" s="3">
        <v>3.7999999999999999E-2</v>
      </c>
    </row>
    <row r="73" spans="1:18" x14ac:dyDescent="0.3">
      <c r="A73" s="2">
        <v>72</v>
      </c>
      <c r="B73" s="2" t="s">
        <v>42</v>
      </c>
      <c r="C73" s="2" t="s">
        <v>69</v>
      </c>
      <c r="D73" s="2" t="s">
        <v>36</v>
      </c>
      <c r="E73" s="2" t="s">
        <v>18</v>
      </c>
      <c r="F73" s="2">
        <f>SUM(F71:F72)</f>
        <v>56</v>
      </c>
      <c r="G73" s="2">
        <f>SUM(G71:G72)</f>
        <v>5178</v>
      </c>
      <c r="K73" s="2">
        <v>2.2999999999999998</v>
      </c>
      <c r="L73" s="2">
        <v>1.6</v>
      </c>
      <c r="M73" s="2">
        <v>3.2</v>
      </c>
      <c r="N73" s="2">
        <v>29.370743375520036</v>
      </c>
      <c r="O73" s="2">
        <v>100</v>
      </c>
      <c r="P73" s="3">
        <v>2.3E-2</v>
      </c>
      <c r="Q73" s="3">
        <v>1.6E-2</v>
      </c>
      <c r="R73" s="3">
        <v>3.2000000000000001E-2</v>
      </c>
    </row>
    <row r="74" spans="1:18" x14ac:dyDescent="0.3">
      <c r="A74" s="2">
        <v>73</v>
      </c>
      <c r="B74" s="2" t="s">
        <v>43</v>
      </c>
      <c r="C74" s="2" t="s">
        <v>70</v>
      </c>
      <c r="D74" s="2" t="s">
        <v>36</v>
      </c>
      <c r="E74" s="2" t="s">
        <v>16</v>
      </c>
      <c r="F74" s="2">
        <v>10</v>
      </c>
      <c r="G74" s="2">
        <v>628</v>
      </c>
      <c r="H74" s="2">
        <v>35.9</v>
      </c>
      <c r="I74" s="2">
        <v>6</v>
      </c>
      <c r="J74" s="2">
        <v>66</v>
      </c>
      <c r="K74" s="2">
        <v>3.7</v>
      </c>
      <c r="L74" s="2">
        <v>0.32</v>
      </c>
      <c r="M74" s="2">
        <v>31.35</v>
      </c>
      <c r="N74" s="2">
        <v>198.36978856784489</v>
      </c>
      <c r="O74" s="2">
        <v>100</v>
      </c>
      <c r="P74" s="3">
        <v>3.7000000000000005E-2</v>
      </c>
      <c r="Q74" s="3">
        <v>3.2000000000000002E-3</v>
      </c>
      <c r="R74" s="3">
        <v>0.3135</v>
      </c>
    </row>
    <row r="75" spans="1:18" x14ac:dyDescent="0.3">
      <c r="A75" s="2">
        <v>74</v>
      </c>
      <c r="B75" s="2" t="s">
        <v>43</v>
      </c>
      <c r="C75" s="2" t="s">
        <v>70</v>
      </c>
      <c r="D75" s="2" t="s">
        <v>36</v>
      </c>
      <c r="E75" s="2" t="s">
        <v>17</v>
      </c>
      <c r="F75" s="2">
        <v>29</v>
      </c>
      <c r="G75" s="2">
        <v>2267</v>
      </c>
      <c r="H75" s="2">
        <v>41.1</v>
      </c>
      <c r="I75" s="2">
        <v>9</v>
      </c>
      <c r="J75" s="2">
        <v>123.6</v>
      </c>
      <c r="K75" s="2">
        <v>6.65</v>
      </c>
      <c r="L75" s="2">
        <v>4.3</v>
      </c>
      <c r="M75" s="2">
        <v>10.15</v>
      </c>
      <c r="N75" s="2">
        <v>71.055149759323342</v>
      </c>
      <c r="O75" s="2">
        <v>100</v>
      </c>
      <c r="P75" s="3">
        <v>6.6500000000000004E-2</v>
      </c>
      <c r="Q75" s="3">
        <v>4.2999999999999997E-2</v>
      </c>
      <c r="R75" s="3">
        <v>0.10150000000000001</v>
      </c>
    </row>
    <row r="76" spans="1:18" x14ac:dyDescent="0.3">
      <c r="A76" s="2">
        <v>75</v>
      </c>
      <c r="B76" s="2" t="s">
        <v>43</v>
      </c>
      <c r="C76" s="2" t="s">
        <v>70</v>
      </c>
      <c r="D76" s="2" t="s">
        <v>36</v>
      </c>
      <c r="E76" s="2" t="s">
        <v>18</v>
      </c>
      <c r="F76" s="2">
        <f>SUM(F74:F75)</f>
        <v>39</v>
      </c>
      <c r="G76" s="2">
        <f>SUM(G74:G75)</f>
        <v>2895</v>
      </c>
      <c r="K76" s="2">
        <v>6.1</v>
      </c>
      <c r="L76" s="2">
        <v>3.6</v>
      </c>
      <c r="M76" s="2">
        <v>10.1</v>
      </c>
      <c r="N76" s="2">
        <v>89.217813102086666</v>
      </c>
      <c r="O76" s="2">
        <v>100</v>
      </c>
      <c r="P76" s="3">
        <v>6.0999999999999999E-2</v>
      </c>
      <c r="Q76" s="3">
        <v>3.6000000000000004E-2</v>
      </c>
      <c r="R76" s="3">
        <v>0.10099999999999999</v>
      </c>
    </row>
    <row r="77" spans="1:18" x14ac:dyDescent="0.3">
      <c r="A77" s="2">
        <v>76</v>
      </c>
      <c r="B77" s="2" t="s">
        <v>44</v>
      </c>
      <c r="C77" s="2" t="s">
        <v>71</v>
      </c>
      <c r="D77" s="2" t="s">
        <v>36</v>
      </c>
      <c r="E77" s="2" t="s">
        <v>16</v>
      </c>
      <c r="F77" s="2">
        <v>10</v>
      </c>
      <c r="G77" s="2">
        <v>936</v>
      </c>
      <c r="H77" s="2">
        <v>20.8</v>
      </c>
      <c r="I77" s="2">
        <v>6</v>
      </c>
      <c r="J77" s="2">
        <v>69.900000000000006</v>
      </c>
      <c r="K77" s="2">
        <v>5.77</v>
      </c>
      <c r="L77" s="2">
        <v>4.2699999999999996</v>
      </c>
      <c r="M77" s="2">
        <v>7.76</v>
      </c>
      <c r="N77" s="2">
        <v>27.23812974863085</v>
      </c>
      <c r="O77" s="2">
        <v>100</v>
      </c>
      <c r="P77" s="3">
        <v>5.7699999999999994E-2</v>
      </c>
      <c r="Q77" s="3">
        <v>4.2699999999999995E-2</v>
      </c>
      <c r="R77" s="3">
        <v>7.7600000000000002E-2</v>
      </c>
    </row>
    <row r="78" spans="1:18" x14ac:dyDescent="0.3">
      <c r="A78" s="2">
        <v>77</v>
      </c>
      <c r="B78" s="2" t="s">
        <v>44</v>
      </c>
      <c r="C78" s="2" t="s">
        <v>71</v>
      </c>
      <c r="D78" s="2" t="s">
        <v>36</v>
      </c>
      <c r="E78" s="2" t="s">
        <v>17</v>
      </c>
      <c r="F78" s="2">
        <v>16</v>
      </c>
      <c r="G78" s="2">
        <v>1231</v>
      </c>
      <c r="H78" s="2">
        <v>44.6</v>
      </c>
      <c r="I78" s="2">
        <v>12.4</v>
      </c>
      <c r="J78" s="2">
        <v>123.6</v>
      </c>
      <c r="K78" s="2">
        <v>3.57</v>
      </c>
      <c r="L78" s="2">
        <v>1.92</v>
      </c>
      <c r="M78" s="2">
        <v>6.53</v>
      </c>
      <c r="N78" s="2">
        <v>41.261392905629151</v>
      </c>
      <c r="O78" s="2">
        <v>100</v>
      </c>
      <c r="P78" s="3">
        <v>3.5699999999999996E-2</v>
      </c>
      <c r="Q78" s="3">
        <v>1.9199999999999998E-2</v>
      </c>
      <c r="R78" s="3">
        <v>6.5299999999999997E-2</v>
      </c>
    </row>
    <row r="79" spans="1:18" x14ac:dyDescent="0.3">
      <c r="A79" s="2">
        <v>78</v>
      </c>
      <c r="B79" s="2" t="s">
        <v>44</v>
      </c>
      <c r="C79" s="2" t="s">
        <v>71</v>
      </c>
      <c r="D79" s="2" t="s">
        <v>36</v>
      </c>
      <c r="E79" s="2" t="s">
        <v>18</v>
      </c>
      <c r="F79" s="2">
        <f>SUM(F77:F78)</f>
        <v>26</v>
      </c>
      <c r="G79" s="2">
        <f>SUM(G77:G78)</f>
        <v>2167</v>
      </c>
      <c r="K79" s="2">
        <v>4.2</v>
      </c>
      <c r="L79" s="2">
        <v>3</v>
      </c>
      <c r="M79" s="2">
        <v>5.9</v>
      </c>
      <c r="N79" s="2">
        <v>34.438274750705524</v>
      </c>
      <c r="O79" s="2">
        <v>100</v>
      </c>
      <c r="P79" s="3">
        <v>4.2000000000000003E-2</v>
      </c>
      <c r="Q79" s="3">
        <v>0.03</v>
      </c>
      <c r="R79" s="3">
        <v>5.9000000000000004E-2</v>
      </c>
    </row>
    <row r="80" spans="1:18" x14ac:dyDescent="0.3">
      <c r="A80" s="2">
        <v>79</v>
      </c>
      <c r="B80" s="2" t="s">
        <v>45</v>
      </c>
      <c r="C80" s="2" t="s">
        <v>72</v>
      </c>
      <c r="D80" s="2" t="s">
        <v>36</v>
      </c>
      <c r="E80" s="2" t="s">
        <v>16</v>
      </c>
      <c r="F80" s="2">
        <v>3</v>
      </c>
      <c r="G80" s="2">
        <v>214</v>
      </c>
      <c r="H80" s="2">
        <v>19.899999999999999</v>
      </c>
      <c r="I80" s="2">
        <v>17</v>
      </c>
      <c r="J80" s="2">
        <v>31.6</v>
      </c>
      <c r="K80" s="2">
        <v>0.7</v>
      </c>
      <c r="L80" s="2">
        <v>0.1</v>
      </c>
      <c r="M80" s="2">
        <v>3.4</v>
      </c>
      <c r="N80" s="2">
        <v>12.315009736347378</v>
      </c>
      <c r="O80" s="2">
        <v>100</v>
      </c>
      <c r="P80" s="3">
        <v>6.9999999999999993E-3</v>
      </c>
      <c r="Q80" s="3">
        <v>1E-3</v>
      </c>
      <c r="R80" s="3">
        <v>3.4000000000000002E-2</v>
      </c>
    </row>
    <row r="81" spans="1:18" x14ac:dyDescent="0.3">
      <c r="A81" s="2">
        <v>80</v>
      </c>
      <c r="B81" s="2" t="s">
        <v>45</v>
      </c>
      <c r="C81" s="2" t="s">
        <v>72</v>
      </c>
      <c r="D81" s="2" t="s">
        <v>36</v>
      </c>
      <c r="E81" s="2" t="s">
        <v>17</v>
      </c>
      <c r="F81" s="2">
        <v>13</v>
      </c>
      <c r="G81" s="2">
        <v>1217</v>
      </c>
      <c r="H81" s="2">
        <v>49</v>
      </c>
      <c r="I81" s="2">
        <v>17</v>
      </c>
      <c r="J81" s="2">
        <v>123.6</v>
      </c>
      <c r="K81" s="2">
        <v>2.9</v>
      </c>
      <c r="L81" s="2">
        <v>1.6</v>
      </c>
      <c r="M81" s="2">
        <v>5.3</v>
      </c>
      <c r="N81" s="2">
        <v>32.927665871069344</v>
      </c>
      <c r="O81" s="2">
        <v>100</v>
      </c>
      <c r="P81" s="3">
        <v>2.8999999999999998E-2</v>
      </c>
      <c r="Q81" s="3">
        <v>1.6E-2</v>
      </c>
      <c r="R81" s="3">
        <v>5.2999999999999999E-2</v>
      </c>
    </row>
    <row r="82" spans="1:18" x14ac:dyDescent="0.3">
      <c r="A82" s="2">
        <v>81</v>
      </c>
      <c r="B82" s="2" t="s">
        <v>45</v>
      </c>
      <c r="C82" s="2" t="s">
        <v>72</v>
      </c>
      <c r="D82" s="2" t="s">
        <v>36</v>
      </c>
      <c r="E82" s="2" t="s">
        <v>18</v>
      </c>
      <c r="F82" s="2">
        <f>SUM(F80:F81)</f>
        <v>16</v>
      </c>
      <c r="G82" s="2">
        <f>SUM(G80:G81)</f>
        <v>1431</v>
      </c>
      <c r="K82" s="2">
        <v>2.4</v>
      </c>
      <c r="L82" s="2">
        <v>1.3</v>
      </c>
      <c r="M82" s="2">
        <v>4.3</v>
      </c>
      <c r="N82" s="2">
        <v>28.950429060272047</v>
      </c>
      <c r="O82" s="2">
        <v>100</v>
      </c>
      <c r="P82" s="3">
        <v>2.4E-2</v>
      </c>
      <c r="Q82" s="3">
        <v>1.3000000000000001E-2</v>
      </c>
      <c r="R82" s="3">
        <v>4.2999999999999997E-2</v>
      </c>
    </row>
    <row r="83" spans="1:18" x14ac:dyDescent="0.3">
      <c r="A8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summary</vt:lpstr>
      <vt:lpstr>arthrofibrosis</vt:lpstr>
      <vt:lpstr>ci.lower.bqt</vt:lpstr>
      <vt:lpstr>ci.lower.sqt</vt:lpstr>
      <vt:lpstr>ci.upper.bqt</vt:lpstr>
      <vt:lpstr>ci.upper.sqt</vt:lpstr>
      <vt:lpstr>donor_site_morbidity</vt:lpstr>
      <vt:lpstr>estimate.bqt</vt:lpstr>
      <vt:lpstr>estimate.sqt</vt:lpstr>
      <vt:lpstr>fu.mean.bqt</vt:lpstr>
      <vt:lpstr>fu.sd.lower.bqt</vt:lpstr>
      <vt:lpstr>fu.sd.upper.bqt</vt:lpstr>
      <vt:lpstr>graft_rupture</vt:lpstr>
      <vt:lpstr>h_lsi_isokinetic_180</vt:lpstr>
      <vt:lpstr>h_lsi_isokinetic_60</vt:lpstr>
      <vt:lpstr>h_lsi_isometric</vt:lpstr>
      <vt:lpstr>ikdc_objective</vt:lpstr>
      <vt:lpstr>ikdc_subjective</vt:lpstr>
      <vt:lpstr>instrumental_laxity</vt:lpstr>
      <vt:lpstr>k.bqt</vt:lpstr>
      <vt:lpstr>k.sqt</vt:lpstr>
      <vt:lpstr>koos_adl</vt:lpstr>
      <vt:lpstr>koos_pain</vt:lpstr>
      <vt:lpstr>koos_qol</vt:lpstr>
      <vt:lpstr>koos_sport</vt:lpstr>
      <vt:lpstr>koos_symptoms</vt:lpstr>
      <vt:lpstr>lachman</vt:lpstr>
      <vt:lpstr>lachman_0_1</vt:lpstr>
      <vt:lpstr>lysholm</vt:lpstr>
      <vt:lpstr>marx</vt:lpstr>
      <vt:lpstr>n.bqt</vt:lpstr>
      <vt:lpstr>n.sqt</vt:lpstr>
      <vt:lpstr>summary!outcome</vt:lpstr>
      <vt:lpstr>patellar_fracture</vt:lpstr>
      <vt:lpstr>pivot_shift</vt:lpstr>
      <vt:lpstr>pivot_shift_0_1_</vt:lpstr>
      <vt:lpstr>q_lsi_isokinetic_180</vt:lpstr>
      <vt:lpstr>q_lsi_isokinetic_60</vt:lpstr>
      <vt:lpstr>q_lsi_isometric</vt:lpstr>
      <vt:lpstr>slht</vt:lpstr>
      <vt:lpstr>tegner</vt:lpstr>
      <vt:lpstr>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2025-08-13T13:13:37Z</dcterms:created>
  <dcterms:modified xsi:type="dcterms:W3CDTF">2025-08-14T03:39:17Z</dcterms:modified>
</cp:coreProperties>
</file>